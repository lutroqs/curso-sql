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Passo a passo" sheetId="2" state="visible" r:id="rId2"/>
    <sheet xmlns:r="http://schemas.openxmlformats.org/officeDocument/2006/relationships" name="Calc" sheetId="3" state="visible" r:id="rId3"/>
    <sheet xmlns:r="http://schemas.openxmlformats.org/officeDocument/2006/relationships" name="Funcionarios" sheetId="4" state="visible" r:id="rId4"/>
  </sheets>
  <definedNames>
    <definedName name="_xlnm.Print_Area" localSheetId="0">'Dashboard'!$A$1:$AE$60</definedName>
  </definedNames>
  <calcPr calcId="124519" fullCalcOnLoad="1"/>
</workbook>
</file>

<file path=xl/styles.xml><?xml version="1.0" encoding="utf-8"?>
<styleSheet xmlns="http://schemas.openxmlformats.org/spreadsheetml/2006/main">
  <numFmts count="11">
    <numFmt numFmtId="164" formatCode="yyyy-mm-dd"/>
    <numFmt numFmtId="165" formatCode="dd/mm/yyyy"/>
    <numFmt numFmtId="166" formatCode="&quot;R$&quot; #,##0"/>
    <numFmt numFmtId="167" formatCode="0.0%"/>
    <numFmt numFmtId="168" formatCode="0.0"/>
    <numFmt numFmtId="169" formatCode="#,##0;#,##0"/>
    <numFmt numFmtId="170" formatCode="&quot;casa: &quot;0.0&quot; anos (média)&quot;"/>
    <numFmt numFmtId="171" formatCode="&quot;▲ &quot;0.0%&quot; vs ano ant.&quot;;&quot;▼ &quot;0.0%&quot; vs ano ant.&quot;;&quot;= ano ant.&quot;"/>
    <numFmt numFmtId="172" formatCode="&quot;folha: &quot;[&gt;=1000000]&quot;R$ &quot;#,##0.00,,&quot; mi&quot;;&quot;folha: R$ &quot;#,##0,&quot;k&quot;"/>
    <numFmt numFmtId="173" formatCode="0%&quot; na liderança&quot;"/>
    <numFmt numFmtId="174" formatCode="0.0&quot; anos&quot;"/>
  </numFmts>
  <fonts count="25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color rgb="001B2541"/>
      <sz val="10"/>
    </font>
    <font>
      <name val="Segoe UI"/>
      <b val="1"/>
      <color rgb="00FFFFFF"/>
      <sz val="11"/>
    </font>
    <font>
      <name val="Segoe UI"/>
      <color rgb="003A4560"/>
      <sz val="9.5"/>
    </font>
    <font>
      <name val="Segoe UI"/>
      <b val="1"/>
      <color rgb="001B2541"/>
      <sz val="9.5"/>
    </font>
    <font>
      <name val="Segoe UI"/>
      <i val="1"/>
      <color rgb="008A94A6"/>
      <sz val="8.5"/>
    </font>
    <font>
      <name val="Segoe UI"/>
      <i val="1"/>
      <color rgb="00C9D3FB"/>
      <sz val="8.5"/>
    </font>
    <font>
      <name val="Segoe UI"/>
      <b val="1"/>
      <color rgb="008A94A6"/>
      <sz val="9"/>
    </font>
    <font>
      <name val="Segoe UI"/>
      <b val="1"/>
      <color rgb="00FFFFFF"/>
      <sz val="20"/>
    </font>
    <font>
      <name val="Segoe UI"/>
      <color rgb="00AEB8D0"/>
      <sz val="9.5"/>
    </font>
    <font>
      <name val="Segoe UI"/>
      <color rgb="00AEB8D0"/>
      <sz val="8.5"/>
    </font>
    <font>
      <name val="Segoe UI"/>
      <b val="1"/>
      <color rgb="008A94A6"/>
      <sz val="8"/>
    </font>
    <font>
      <name val="Segoe UI"/>
      <b val="1"/>
      <color rgb="004F6BED"/>
      <sz val="10"/>
    </font>
    <font>
      <name val="Segoe UI"/>
      <b val="1"/>
      <color rgb="001B2541"/>
      <sz val="18"/>
    </font>
    <font>
      <name val="Segoe UI"/>
      <b val="1"/>
      <color rgb="008A94A6"/>
      <sz val="8.5"/>
    </font>
    <font>
      <name val="Segoe UI"/>
      <b val="1"/>
      <color rgb="001B2541"/>
      <sz val="10.5"/>
    </font>
    <font>
      <name val="Segoe UI"/>
      <color rgb="008A94A6"/>
      <sz val="8.5"/>
    </font>
    <font>
      <name val="Segoe UI"/>
      <color rgb="001B2541"/>
      <sz val="9.5"/>
    </font>
    <font>
      <name val="Segoe UI"/>
      <i val="1"/>
      <color rgb="008A94A6"/>
      <sz val="8"/>
    </font>
    <font>
      <name val="Segoe UI"/>
      <b val="1"/>
      <color rgb="00FFFFFF"/>
      <sz val="18"/>
    </font>
    <font>
      <name val="Segoe UI"/>
      <b val="1"/>
      <color rgb="004F6BED"/>
      <sz val="13"/>
    </font>
    <font>
      <name val="Segoe UI"/>
      <i val="1"/>
      <color rgb="003A4560"/>
      <sz val="9.5"/>
    </font>
    <font>
      <name val="Segoe UI"/>
      <b val="1"/>
      <color rgb="00FFFFFF"/>
      <sz val="9"/>
    </font>
    <font>
      <name val="Consolas"/>
      <color rgb="004F6BED"/>
      <sz val="9.5"/>
    </font>
  </fonts>
  <fills count="8">
    <fill>
      <patternFill/>
    </fill>
    <fill>
      <patternFill patternType="gray125"/>
    </fill>
    <fill>
      <patternFill patternType="solid">
        <fgColor rgb="002A3A63"/>
      </patternFill>
    </fill>
    <fill>
      <patternFill patternType="solid">
        <fgColor rgb="00F3F5FA"/>
      </patternFill>
    </fill>
    <fill>
      <patternFill patternType="solid">
        <fgColor rgb="001B2541"/>
      </patternFill>
    </fill>
    <fill>
      <patternFill patternType="solid">
        <fgColor rgb="00FFFFFF"/>
      </patternFill>
    </fill>
    <fill>
      <patternFill patternType="solid">
        <fgColor rgb="00EEF1FE"/>
      </patternFill>
    </fill>
    <fill>
      <patternFill patternType="solid">
        <fgColor rgb="00F7F8FC"/>
      </patternFill>
    </fill>
  </fills>
  <borders count="12">
    <border>
      <left/>
      <right/>
      <top/>
      <bottom/>
      <diagonal/>
    </border>
    <border/>
    <border>
      <left style="thin">
        <color rgb="00C9D3FB"/>
      </left>
      <right style="thin">
        <color rgb="00C9D3FB"/>
      </right>
      <top style="thin">
        <color rgb="00C9D3FB"/>
      </top>
      <bottom style="thin">
        <color rgb="00C9D3FB"/>
      </bottom>
    </border>
    <border>
      <bottom style="thin">
        <color rgb="00E3E8F0"/>
      </bottom>
    </border>
    <border>
      <top style="thick">
        <color rgb="004F6BED"/>
      </top>
    </border>
    <border>
      <left/>
      <right/>
      <top/>
      <bottom style="thin">
        <color rgb="00E3E8F0"/>
      </bottom>
      <diagonal/>
    </border>
    <border>
      <top style="thick">
        <color rgb="0022B8CF"/>
      </top>
    </border>
    <border>
      <top style="thick">
        <color rgb="00FF8A4C"/>
      </top>
    </border>
    <border>
      <top style="thick">
        <color rgb="009B7BF7"/>
      </top>
    </border>
    <border>
      <top style="thick">
        <color rgb="00B7C0D1"/>
      </top>
    </border>
    <border>
      <top style="thick">
        <color rgb="003A4560"/>
      </top>
    </border>
    <border>
      <bottom style="thin">
        <color rgb="00F0F2F7"/>
      </bottom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0" fillId="4" borderId="0" pivotButton="0" quotePrefix="0" xfId="0"/>
    <xf numFmtId="0" fontId="9" fillId="4" borderId="0" applyAlignment="1" pivotButton="0" quotePrefix="0" xfId="0">
      <alignment vertical="bottom"/>
    </xf>
    <xf numFmtId="0" fontId="11" fillId="4" borderId="0" applyAlignment="1" pivotButton="0" quotePrefix="0" xfId="0">
      <alignment horizontal="right" vertical="bottom"/>
    </xf>
    <xf numFmtId="0" fontId="10" fillId="4" borderId="0" applyAlignment="1" pivotButton="0" quotePrefix="0" xfId="0">
      <alignment vertical="top"/>
    </xf>
    <xf numFmtId="165" fontId="3" fillId="4" borderId="0" applyAlignment="1" pivotButton="0" quotePrefix="0" xfId="0">
      <alignment horizontal="right" vertical="top"/>
    </xf>
    <xf numFmtId="0" fontId="0" fillId="3" borderId="0" pivotButton="0" quotePrefix="0" xfId="0"/>
    <xf numFmtId="0" fontId="12" fillId="5" borderId="1" applyAlignment="1" pivotButton="0" quotePrefix="0" xfId="0">
      <alignment horizontal="right" vertical="center"/>
    </xf>
    <xf numFmtId="0" fontId="13" fillId="6" borderId="2" applyAlignment="1" pivotButton="0" quotePrefix="0" xfId="0">
      <alignment horizontal="center" vertical="center"/>
    </xf>
    <xf numFmtId="0" fontId="0" fillId="5" borderId="1" pivotButton="0" quotePrefix="0" xfId="0"/>
    <xf numFmtId="0" fontId="6" fillId="5" borderId="1" applyAlignment="1" pivotButton="0" quotePrefix="0" xfId="0">
      <alignment vertical="center" indent="1"/>
    </xf>
    <xf numFmtId="0" fontId="12" fillId="5" borderId="4" applyAlignment="1" pivotButton="0" quotePrefix="0" xfId="0">
      <alignment vertical="center" indent="1"/>
    </xf>
    <xf numFmtId="0" fontId="0" fillId="5" borderId="4" pivotButton="0" quotePrefix="0" xfId="0"/>
    <xf numFmtId="0" fontId="12" fillId="5" borderId="6" applyAlignment="1" pivotButton="0" quotePrefix="0" xfId="0">
      <alignment vertical="center" indent="1"/>
    </xf>
    <xf numFmtId="0" fontId="0" fillId="5" borderId="6" pivotButton="0" quotePrefix="0" xfId="0"/>
    <xf numFmtId="0" fontId="12" fillId="5" borderId="7" applyAlignment="1" pivotButton="0" quotePrefix="0" xfId="0">
      <alignment vertical="center" indent="1"/>
    </xf>
    <xf numFmtId="0" fontId="0" fillId="5" borderId="7" pivotButton="0" quotePrefix="0" xfId="0"/>
    <xf numFmtId="0" fontId="12" fillId="5" borderId="8" applyAlignment="1" pivotButton="0" quotePrefix="0" xfId="0">
      <alignment vertical="center" indent="1"/>
    </xf>
    <xf numFmtId="0" fontId="0" fillId="5" borderId="8" pivotButton="0" quotePrefix="0" xfId="0"/>
    <xf numFmtId="0" fontId="12" fillId="5" borderId="9" applyAlignment="1" pivotButton="0" quotePrefix="0" xfId="0">
      <alignment vertical="center" indent="1"/>
    </xf>
    <xf numFmtId="0" fontId="0" fillId="5" borderId="9" pivotButton="0" quotePrefix="0" xfId="0"/>
    <xf numFmtId="0" fontId="12" fillId="5" borderId="10" applyAlignment="1" pivotButton="0" quotePrefix="0" xfId="0">
      <alignment vertical="center" indent="1"/>
    </xf>
    <xf numFmtId="0" fontId="0" fillId="5" borderId="10" pivotButton="0" quotePrefix="0" xfId="0"/>
    <xf numFmtId="1" fontId="14" fillId="5" borderId="0" applyAlignment="1" pivotButton="0" quotePrefix="0" xfId="0">
      <alignment vertical="center" indent="1"/>
    </xf>
    <xf numFmtId="167" fontId="14" fillId="5" borderId="0" applyAlignment="1" pivotButton="0" quotePrefix="0" xfId="0">
      <alignment vertical="center" indent="1"/>
    </xf>
    <xf numFmtId="166" fontId="14" fillId="5" borderId="0" applyAlignment="1" pivotButton="0" quotePrefix="0" xfId="0">
      <alignment vertical="center" indent="1"/>
    </xf>
    <xf numFmtId="9" fontId="14" fillId="5" borderId="0" applyAlignment="1" pivotButton="0" quotePrefix="0" xfId="0">
      <alignment vertical="center" indent="1"/>
    </xf>
    <xf numFmtId="170" fontId="15" fillId="5" borderId="3" applyAlignment="1" pivotButton="0" quotePrefix="0" xfId="0">
      <alignment vertical="center" indent="1"/>
    </xf>
    <xf numFmtId="0" fontId="0" fillId="0" borderId="5" pivotButton="0" quotePrefix="0" xfId="0"/>
    <xf numFmtId="171" fontId="15" fillId="5" borderId="3" applyAlignment="1" pivotButton="0" quotePrefix="0" xfId="0">
      <alignment vertical="center" indent="1"/>
    </xf>
    <xf numFmtId="49" fontId="15" fillId="5" borderId="3" applyAlignment="1" pivotButton="0" quotePrefix="0" xfId="0">
      <alignment vertical="center" indent="1"/>
    </xf>
    <xf numFmtId="172" fontId="15" fillId="5" borderId="3" applyAlignment="1" pivotButton="0" quotePrefix="0" xfId="0">
      <alignment vertical="center" indent="1"/>
    </xf>
    <xf numFmtId="173" fontId="15" fillId="5" borderId="3" applyAlignment="1" pivotButton="0" quotePrefix="0" xfId="0">
      <alignment vertical="center" indent="1"/>
    </xf>
    <xf numFmtId="0" fontId="16" fillId="5" borderId="0" applyAlignment="1" pivotButton="0" quotePrefix="0" xfId="0">
      <alignment vertical="bottom" indent="1"/>
    </xf>
    <xf numFmtId="0" fontId="0" fillId="5" borderId="0" pivotButton="0" quotePrefix="0" xfId="0"/>
    <xf numFmtId="0" fontId="17" fillId="5" borderId="0" applyAlignment="1" pivotButton="0" quotePrefix="0" xfId="0">
      <alignment vertical="top" indent="1"/>
    </xf>
    <xf numFmtId="0" fontId="0" fillId="5" borderId="3" pivotButton="0" quotePrefix="0" xfId="0"/>
    <xf numFmtId="0" fontId="12" fillId="5" borderId="0" applyAlignment="1" pivotButton="0" quotePrefix="0" xfId="0">
      <alignment horizontal="left" indent="1"/>
    </xf>
    <xf numFmtId="0" fontId="12" fillId="5" borderId="0" applyAlignment="1" pivotButton="0" quotePrefix="0" xfId="0">
      <alignment horizontal="center"/>
    </xf>
    <xf numFmtId="0" fontId="5" fillId="5" borderId="11" applyAlignment="1" pivotButton="0" quotePrefix="0" xfId="0">
      <alignment horizontal="left" vertical="center" indent="1"/>
    </xf>
    <xf numFmtId="0" fontId="0" fillId="0" borderId="11" pivotButton="0" quotePrefix="0" xfId="0"/>
    <xf numFmtId="1" fontId="18" fillId="5" borderId="11" applyAlignment="1" pivotButton="0" quotePrefix="0" xfId="0">
      <alignment horizontal="center" vertical="center"/>
    </xf>
    <xf numFmtId="9" fontId="18" fillId="5" borderId="11" applyAlignment="1" pivotButton="0" quotePrefix="0" xfId="0">
      <alignment horizontal="center" vertical="center"/>
    </xf>
    <xf numFmtId="166" fontId="18" fillId="5" borderId="11" applyAlignment="1" pivotButton="0" quotePrefix="0" xfId="0">
      <alignment horizontal="left" vertical="center" indent="1"/>
    </xf>
    <xf numFmtId="174" fontId="18" fillId="5" borderId="11" applyAlignment="1" pivotButton="0" quotePrefix="0" xfId="0">
      <alignment horizontal="center" vertical="center"/>
    </xf>
    <xf numFmtId="168" fontId="18" fillId="5" borderId="11" applyAlignment="1" pivotButton="0" quotePrefix="0" xfId="0">
      <alignment horizontal="center" vertical="center"/>
    </xf>
    <xf numFmtId="0" fontId="19" fillId="3" borderId="0" applyAlignment="1" pivotButton="0" quotePrefix="0" xfId="0">
      <alignment vertical="top" wrapText="1"/>
    </xf>
    <xf numFmtId="0" fontId="20" fillId="4" borderId="0" pivotButton="0" quotePrefix="0" xfId="0"/>
    <xf numFmtId="0" fontId="10" fillId="4" borderId="0" pivotButton="0" quotePrefix="0" xfId="0"/>
    <xf numFmtId="0" fontId="21" fillId="0" borderId="0" pivotButton="0" quotePrefix="0" xfId="0"/>
    <xf numFmtId="0" fontId="22" fillId="0" borderId="0" applyAlignment="1" pivotButton="0" quotePrefix="0" xfId="0">
      <alignment vertical="top" wrapText="1"/>
    </xf>
    <xf numFmtId="0" fontId="23" fillId="2" borderId="0" applyAlignment="1" pivotButton="0" quotePrefix="0" xfId="0">
      <alignment vertical="center" indent="1"/>
    </xf>
    <xf numFmtId="0" fontId="5" fillId="0" borderId="3" applyAlignment="1" pivotButton="0" quotePrefix="0" xfId="0">
      <alignment horizontal="center" vertical="top" wrapText="1"/>
    </xf>
    <xf numFmtId="0" fontId="18" fillId="0" borderId="3" applyAlignment="1" pivotButton="0" quotePrefix="0" xfId="0">
      <alignment horizontal="left" vertical="top" wrapText="1" indent="1"/>
    </xf>
    <xf numFmtId="0" fontId="24" fillId="0" borderId="3" applyAlignment="1" pivotButton="0" quotePrefix="0" xfId="0">
      <alignment horizontal="left" vertical="top" wrapText="1" indent="1"/>
    </xf>
    <xf numFmtId="0" fontId="5" fillId="7" borderId="3" applyAlignment="1" pivotButton="0" quotePrefix="0" xfId="0">
      <alignment horizontal="center" vertical="top" wrapText="1"/>
    </xf>
    <xf numFmtId="0" fontId="18" fillId="7" borderId="3" applyAlignment="1" pivotButton="0" quotePrefix="0" xfId="0">
      <alignment horizontal="left" vertical="top" wrapText="1" indent="1"/>
    </xf>
    <xf numFmtId="0" fontId="24" fillId="7" borderId="3" applyAlignment="1" pivotButton="0" quotePrefix="1" xfId="0">
      <alignment horizontal="left" vertical="top" wrapText="1" indent="1"/>
    </xf>
    <xf numFmtId="0" fontId="24" fillId="0" borderId="3" applyAlignment="1" pivotButton="0" quotePrefix="1" xfId="0">
      <alignment horizontal="left" vertical="top" wrapText="1" indent="1"/>
    </xf>
    <xf numFmtId="0" fontId="24" fillId="7" borderId="3" applyAlignment="1" pivotButton="0" quotePrefix="0" xfId="0">
      <alignment horizontal="left" vertical="top" wrapText="1" indent="1"/>
    </xf>
    <xf numFmtId="0" fontId="3" fillId="2" borderId="0" pivotButton="0" quotePrefix="0" xfId="0"/>
    <xf numFmtId="0" fontId="0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165" fontId="5" fillId="0" borderId="0" pivotButton="0" quotePrefix="0" xfId="0"/>
    <xf numFmtId="0" fontId="6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166" fontId="5" fillId="0" borderId="0" pivotButton="0" quotePrefix="0" xfId="0"/>
    <xf numFmtId="168" fontId="5" fillId="0" borderId="0" pivotButton="0" quotePrefix="0" xfId="0"/>
    <xf numFmtId="0" fontId="7" fillId="2" borderId="0" pivotButton="0" quotePrefix="0" xfId="0"/>
    <xf numFmtId="0" fontId="8" fillId="0" borderId="0" pivotButton="0" quotePrefix="0" xfId="0"/>
    <xf numFmtId="169" fontId="0" fillId="0" borderId="0" pivotButton="0" quotePrefix="0" xfId="0"/>
    <xf numFmtId="167" fontId="0" fillId="0" borderId="0" pivotButton="0" quotePrefix="0" xfId="0"/>
    <xf numFmtId="166" fontId="0" fillId="0" borderId="0" pivotButton="0" quotePrefix="0" xfId="0"/>
    <xf numFmtId="168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</cellXfs>
  <cellStyles count="1">
    <cellStyle name="Normal" xfId="0" builtinId="0" hidden="0"/>
  </cellStyles>
  <dxfs count="3">
    <dxf>
      <font>
        <name val="Segoe UI"/>
        <b val="1"/>
        <color rgb="002BB673"/>
      </font>
    </dxf>
    <dxf>
      <font>
        <name val="Segoe UI"/>
        <b val="1"/>
        <color rgb="00E5484D"/>
      </font>
    </dxf>
    <dxf>
      <font>
        <name val="Segoe UI"/>
        <b val="1"/>
        <color rgb="00E5484D"/>
        <sz val="18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C9D3FB"/>
            </a:solidFill>
            <a:ln xmlns:a="http://schemas.openxmlformats.org/drawingml/2006/main">
              <a:noFill/>
              <a:prstDash val="solid"/>
            </a:ln>
          </spPr>
          <dPt>
            <idx val="0"/>
            <spPr>
              <a:solidFill xmlns:a="http://schemas.openxmlformats.org/drawingml/2006/main">
                <a:srgbClr val="4F6BED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cat>
            <numRef>
              <f>'Calc'!$F$29:$F$35</f>
            </numRef>
          </cat>
          <val>
            <numRef>
              <f>'Calc'!$G$29:$G$35</f>
            </numRef>
          </val>
        </ser>
        <dLbls>
          <numFmt formatCode="0"/>
          <txPr>
            <a:bodyPr xmlns:a="http://schemas.openxmlformats.org/drawingml/2006/main"/>
            <a:p xmlns:a="http://schemas.openxmlformats.org/drawingml/2006/main">
              <a:pPr>
                <a:defRPr sz="800" b="1">
                  <a:solidFill>
                    <a:srgbClr val="3A4560"/>
                  </a:solidFill>
                  <a:latin typeface="Segoe UI"/>
                </a:defRPr>
              </a:pPr>
              <a:r>
                <a:t/>
              </a:r>
              <a:endParaRPr sz="800" b="1">
                <a:solidFill>
                  <a:srgbClr val="3A4560"/>
                </a:solidFill>
                <a:latin typeface="Segoe UI"/>
              </a:endParaRPr>
            </a:p>
          </txPr>
          <dLblPos val="outEnd"/>
          <showLegendKey val="0"/>
          <showVal val="1"/>
          <showCatName val="0"/>
          <showSerName val="0"/>
          <showPercent val="0"/>
        </dLbls>
        <gapWidth val="4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E3E8F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3A4560"/>
                </a:solidFill>
                <a:latin typeface="Segoe UI"/>
              </a:defRPr>
            </a:pPr>
            <a:r>
              <a:t/>
            </a:r>
            <a:endParaRPr sz="800" b="0">
              <a:solidFill>
                <a:srgbClr val="3A4560"/>
              </a:solidFill>
              <a:latin typeface="Segoe UI"/>
            </a:endParaRPr>
          </a:p>
        </txPr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8A94A6"/>
                </a:solidFill>
                <a:latin typeface="Segoe UI"/>
              </a:defRPr>
            </a:pPr>
            <a:r>
              <a:t/>
            </a:r>
            <a:endParaRPr sz="800" b="0">
              <a:solidFill>
                <a:srgbClr val="8A94A6"/>
              </a:solidFill>
              <a:latin typeface="Segoe UI"/>
            </a:endParaRPr>
          </a:p>
        </txPr>
        <crossAx val="10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2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'Calc'!B38</f>
            </strRef>
          </tx>
          <spPr>
            <a:solidFill xmlns:a="http://schemas.openxmlformats.org/drawingml/2006/main">
              <a:srgbClr val="4F6BED"/>
            </a:solidFill>
            <a:ln xmlns:a="http://schemas.openxmlformats.org/drawingml/2006/main">
              <a:noFill/>
              <a:prstDash val="solid"/>
            </a:ln>
          </spPr>
          <cat>
            <numRef>
              <f>'Calc'!$A$39:$A$50</f>
            </numRef>
          </cat>
          <val>
            <numRef>
              <f>'Calc'!$B$39:$B$50</f>
            </numRef>
          </val>
        </ser>
        <ser>
          <idx val="1"/>
          <order val="1"/>
          <tx>
            <strRef>
              <f>'Calc'!C38</f>
            </strRef>
          </tx>
          <spPr>
            <a:solidFill xmlns:a="http://schemas.openxmlformats.org/drawingml/2006/main">
              <a:srgbClr val="FF8A4C"/>
            </a:solidFill>
            <a:ln xmlns:a="http://schemas.openxmlformats.org/drawingml/2006/main">
              <a:noFill/>
              <a:prstDash val="solid"/>
            </a:ln>
          </spPr>
          <cat>
            <numRef>
              <f>'Calc'!$A$39:$A$50</f>
            </numRef>
          </cat>
          <val>
            <numRef>
              <f>'Calc'!$C$39:$C$50</f>
            </numRef>
          </val>
        </ser>
        <gapWidth val="70"/>
        <overlap val="-1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E3E8F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8A94A6"/>
                </a:solidFill>
                <a:latin typeface="Segoe UI"/>
              </a:defRPr>
            </a:pPr>
            <a:r>
              <a:t/>
            </a:r>
            <a:endParaRPr sz="800" b="0">
              <a:solidFill>
                <a:srgbClr val="8A94A6"/>
              </a:solidFill>
              <a:latin typeface="Segoe UI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6350">
              <a:solidFill>
                <a:srgbClr val="EEF1F6"/>
              </a:solidFill>
              <a:prstDash val="solid"/>
            </a:ln>
          </spPr>
        </majorGridlines>
        <numFmt formatCode="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8A94A6"/>
                </a:solidFill>
                <a:latin typeface="Segoe UI"/>
              </a:defRPr>
            </a:pPr>
            <a:r>
              <a:t/>
            </a:r>
            <a:endParaRPr sz="800" b="0">
              <a:solidFill>
                <a:srgbClr val="8A94A6"/>
              </a:solidFill>
              <a:latin typeface="Segoe UI"/>
            </a:endParaRPr>
          </a:p>
        </txPr>
        <crossAx val="10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t"/>
      <txPr>
        <a:bodyPr xmlns:a="http://schemas.openxmlformats.org/drawingml/2006/main"/>
        <a:p xmlns:a="http://schemas.openxmlformats.org/drawingml/2006/main">
          <a:pPr>
            <a:defRPr sz="850" b="0">
              <a:solidFill>
                <a:srgbClr val="3A4560"/>
              </a:solidFill>
              <a:latin typeface="Segoe UI"/>
            </a:defRPr>
          </a:pPr>
          <a:r>
            <a:t/>
          </a:r>
          <a:endParaRPr sz="850" b="0">
            <a:solidFill>
              <a:srgbClr val="3A4560"/>
            </a:solidFill>
            <a:latin typeface="Segoe UI"/>
          </a:endParaRPr>
        </a:p>
      </txPr>
    </legend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3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tx>
            <strRef>
              <f>'Calc'!B53</f>
            </strRef>
          </tx>
          <spPr>
            <a:solidFill xmlns:a="http://schemas.openxmlformats.org/drawingml/2006/main">
              <a:srgbClr val="22B8CF"/>
            </a:solidFill>
            <a:ln xmlns:a="http://schemas.openxmlformats.org/drawingml/2006/main">
              <a:noFill/>
              <a:prstDash val="solid"/>
            </a:ln>
          </spPr>
          <cat>
            <numRef>
              <f>'Calc'!$A$54:$A$58</f>
            </numRef>
          </cat>
          <val>
            <numRef>
              <f>'Calc'!$B$54:$B$58</f>
            </numRef>
          </val>
        </ser>
        <ser>
          <idx val="1"/>
          <order val="1"/>
          <tx>
            <strRef>
              <f>'Calc'!C53</f>
            </strRef>
          </tx>
          <spPr>
            <a:solidFill xmlns:a="http://schemas.openxmlformats.org/drawingml/2006/main">
              <a:srgbClr val="4F6BED"/>
            </a:solidFill>
            <a:ln xmlns:a="http://schemas.openxmlformats.org/drawingml/2006/main">
              <a:noFill/>
              <a:prstDash val="solid"/>
            </a:ln>
          </spPr>
          <cat>
            <numRef>
              <f>'Calc'!$A$54:$A$58</f>
            </numRef>
          </cat>
          <val>
            <numRef>
              <f>'Calc'!$C$54:$C$58</f>
            </numRef>
          </val>
        </ser>
        <dLbls>
          <numFmt formatCode="#,##0;#,##0"/>
          <txPr>
            <a:bodyPr xmlns:a="http://schemas.openxmlformats.org/drawingml/2006/main"/>
            <a:p xmlns:a="http://schemas.openxmlformats.org/drawingml/2006/main">
              <a:pPr>
                <a:defRPr sz="750" b="1">
                  <a:solidFill>
                    <a:srgbClr val="3A4560"/>
                  </a:solidFill>
                  <a:latin typeface="Segoe UI"/>
                </a:defRPr>
              </a:pPr>
              <a:r>
                <a:t/>
              </a:r>
              <a:endParaRPr sz="750" b="1">
                <a:solidFill>
                  <a:srgbClr val="3A4560"/>
                </a:solidFill>
                <a:latin typeface="Segoe UI"/>
              </a:endParaRPr>
            </a:p>
          </txPr>
          <showLegendKey val="0"/>
          <showVal val="1"/>
          <showCatName val="0"/>
          <showSerName val="0"/>
          <showPercent val="0"/>
        </dLbls>
        <gapWidth val="25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spPr>
          <a:ln xmlns:a="http://schemas.openxmlformats.org/drawingml/2006/main">
            <a:solidFill>
              <a:srgbClr val="E3E8F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3A4560"/>
                </a:solidFill>
                <a:latin typeface="Segoe UI"/>
              </a:defRPr>
            </a:pPr>
            <a:r>
              <a:t/>
            </a:r>
            <a:endParaRPr sz="800" b="0">
              <a:solidFill>
                <a:srgbClr val="3A4560"/>
              </a:solidFill>
              <a:latin typeface="Segoe UI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6350">
              <a:solidFill>
                <a:srgbClr val="EEF1F6"/>
              </a:solidFill>
              <a:prstDash val="solid"/>
            </a:ln>
          </spPr>
        </majorGridlines>
        <numFmt formatCode="#,##0;#,##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8A94A6"/>
                </a:solidFill>
                <a:latin typeface="Segoe UI"/>
              </a:defRPr>
            </a:pPr>
            <a:r>
              <a:t/>
            </a:r>
            <a:endParaRPr sz="800" b="0">
              <a:solidFill>
                <a:srgbClr val="8A94A6"/>
              </a:solidFill>
              <a:latin typeface="Segoe UI"/>
            </a:endParaRPr>
          </a:p>
        </txPr>
        <crossAx val="10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t"/>
      <txPr>
        <a:bodyPr xmlns:a="http://schemas.openxmlformats.org/drawingml/2006/main"/>
        <a:p xmlns:a="http://schemas.openxmlformats.org/drawingml/2006/main">
          <a:pPr>
            <a:defRPr sz="850" b="0">
              <a:solidFill>
                <a:srgbClr val="3A4560"/>
              </a:solidFill>
              <a:latin typeface="Segoe UI"/>
            </a:defRPr>
          </a:pPr>
          <a:r>
            <a:t/>
          </a:r>
          <a:endParaRPr sz="850" b="0">
            <a:solidFill>
              <a:srgbClr val="3A4560"/>
            </a:solidFill>
            <a:latin typeface="Segoe UI"/>
          </a:endParaRPr>
        </a:p>
      </txPr>
    </legend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FF8A4C"/>
            </a:solidFill>
            <a:ln xmlns:a="http://schemas.openxmlformats.org/drawingml/2006/main">
              <a:noFill/>
              <a:prstDash val="solid"/>
            </a:ln>
          </spPr>
          <cat>
            <numRef>
              <f>'Calc'!$A$62:$A$65</f>
            </numRef>
          </cat>
          <val>
            <numRef>
              <f>'Calc'!$B$62:$B$65</f>
            </numRef>
          </val>
        </ser>
        <dLbls>
          <numFmt formatCode="0"/>
          <txPr>
            <a:bodyPr xmlns:a="http://schemas.openxmlformats.org/drawingml/2006/main"/>
            <a:p xmlns:a="http://schemas.openxmlformats.org/drawingml/2006/main">
              <a:pPr>
                <a:defRPr sz="800" b="1">
                  <a:solidFill>
                    <a:srgbClr val="3A4560"/>
                  </a:solidFill>
                  <a:latin typeface="Segoe UI"/>
                </a:defRPr>
              </a:pPr>
              <a:r>
                <a:t/>
              </a:r>
              <a:endParaRPr sz="800" b="1">
                <a:solidFill>
                  <a:srgbClr val="3A4560"/>
                </a:solidFill>
                <a:latin typeface="Segoe UI"/>
              </a:endParaRPr>
            </a:p>
          </txPr>
          <dLblPos val="outEnd"/>
          <showLegendKey val="0"/>
          <showVal val="1"/>
          <showCatName val="0"/>
          <showSerName val="0"/>
          <showPercent val="0"/>
        </dLbls>
        <gapWidth val="45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E3E8F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750" b="0">
                <a:solidFill>
                  <a:srgbClr val="3A4560"/>
                </a:solidFill>
                <a:latin typeface="Segoe UI"/>
              </a:defRPr>
            </a:pPr>
            <a:r>
              <a:t/>
            </a:r>
            <a:endParaRPr sz="750" b="0">
              <a:solidFill>
                <a:srgbClr val="3A4560"/>
              </a:solidFill>
              <a:latin typeface="Segoe UI"/>
            </a:endParaRPr>
          </a:p>
        </txPr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8A94A6"/>
                </a:solidFill>
                <a:latin typeface="Segoe UI"/>
              </a:defRPr>
            </a:pPr>
            <a:r>
              <a:t/>
            </a:r>
            <a:endParaRPr sz="800" b="0">
              <a:solidFill>
                <a:srgbClr val="8A94A6"/>
              </a:solidFill>
              <a:latin typeface="Segoe UI"/>
            </a:endParaRPr>
          </a:p>
        </txPr>
        <crossAx val="10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tx>
            <strRef>
              <f>'Calc'!B68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2B8CF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4F6BED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cat>
            <numRef>
              <f>'Calc'!$A$69:$A$70</f>
            </numRef>
          </cat>
          <val>
            <numRef>
              <f>'Calc'!$B$69:$B$70</f>
            </numRef>
          </val>
        </ser>
        <dLbls>
          <numFmt formatCode="0%"/>
          <txPr>
            <a:bodyPr xmlns:a="http://schemas.openxmlformats.org/drawingml/2006/main"/>
            <a:p xmlns:a="http://schemas.openxmlformats.org/drawingml/2006/main">
              <a:pPr>
                <a:defRPr sz="900" b="1">
                  <a:solidFill>
                    <a:srgbClr val="FFFFFF"/>
                  </a:solidFill>
                  <a:latin typeface="Segoe UI"/>
                </a:defRPr>
              </a:pPr>
              <a:r>
                <a:t/>
              </a:r>
              <a:endParaRPr sz="900" b="1">
                <a:solidFill>
                  <a:srgbClr val="FFFFFF"/>
                </a:solidFill>
                <a:latin typeface="Segoe UI"/>
              </a:endParaRPr>
            </a:p>
          </txPr>
          <showLegendKey val="0"/>
          <showVal val="0"/>
          <showCatName val="0"/>
          <showSerName val="0"/>
          <showPercent val="1"/>
        </dLbls>
        <firstSliceAng val="0"/>
        <holeSize val="64"/>
      </doughnutChart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b"/>
      <txPr>
        <a:bodyPr xmlns:a="http://schemas.openxmlformats.org/drawingml/2006/main"/>
        <a:p xmlns:a="http://schemas.openxmlformats.org/drawingml/2006/main">
          <a:pPr>
            <a:defRPr sz="850" b="0">
              <a:solidFill>
                <a:srgbClr val="3A4560"/>
              </a:solidFill>
              <a:latin typeface="Segoe UI"/>
            </a:defRPr>
          </a:pPr>
          <a:r>
            <a:t/>
          </a:r>
          <a:endParaRPr sz="850" b="0">
            <a:solidFill>
              <a:srgbClr val="3A4560"/>
            </a:solidFill>
            <a:latin typeface="Segoe UI"/>
          </a:endParaRPr>
        </a:p>
      </txPr>
    </legend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twoCellAnchor>
    <from>
      <col>1</col>
      <colOff>60000</colOff>
      <row>13</row>
      <rowOff>30000</rowOff>
    </from>
    <to>
      <col>11</col>
      <colOff>0</colOff>
      <row>27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12</col>
      <colOff>60000</colOff>
      <row>13</row>
      <rowOff>30000</rowOff>
    </from>
    <to>
      <col>30</col>
      <colOff>0</colOff>
      <row>27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1</col>
      <colOff>60000</colOff>
      <row>30</row>
      <rowOff>30000</rowOff>
    </from>
    <to>
      <col>14</col>
      <colOff>0</colOff>
      <row>44</row>
      <rowOff>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15</col>
      <colOff>60000</colOff>
      <row>30</row>
      <rowOff>30000</rowOff>
    </from>
    <to>
      <col>23</col>
      <colOff>0</colOff>
      <row>44</row>
      <rowOff>0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24</col>
      <colOff>60000</colOff>
      <row>30</row>
      <rowOff>30000</rowOff>
    </from>
    <to>
      <col>30</col>
      <colOff>0</colOff>
      <row>44</row>
      <rowOff>0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bFuncionarios" displayName="tbFuncionarios" ref="A1:Q176" headerRowCount="1">
  <autoFilter ref="A1:Q176"/>
  <tableColumns count="17">
    <tableColumn id="1" name="Matrícula"/>
    <tableColumn id="2" name="Nome"/>
    <tableColumn id="3" name="Gênero"/>
    <tableColumn id="4" name="Nascimento"/>
    <tableColumn id="5" name="Idade"/>
    <tableColumn id="6" name="Faixa etária"/>
    <tableColumn id="7" name="Departamento"/>
    <tableColumn id="8" name="Nível"/>
    <tableColumn id="9" name="Salário"/>
    <tableColumn id="10" name="Admissão"/>
    <tableColumn id="11" name="Desligamento"/>
    <tableColumn id="12" name="Motivo"/>
    <tableColumn id="13" name="Unidade"/>
    <tableColumn id="14" name="Avaliação"/>
    <tableColumn id="15" name="Status"/>
    <tableColumn id="16" name="Tempo de casa (anos)"/>
    <tableColumn id="17" name="Liderança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4F6BED"/>
    <outlinePr summaryBelow="1" summaryRight="1"/>
    <pageSetUpPr fitToPage="1"/>
  </sheetPr>
  <dimension ref="A1:AE64"/>
  <sheetViews>
    <sheetView showGridLines="0" showRowColHeader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.2" customWidth="1" min="1" max="1"/>
    <col width="4.6" customWidth="1" min="2" max="2"/>
    <col width="4.6" customWidth="1" min="3" max="3"/>
    <col width="4.6" customWidth="1" min="4" max="4"/>
    <col width="4.6" customWidth="1" min="5" max="5"/>
    <col width="4.6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  <col width="4.6" customWidth="1" min="16" max="16"/>
    <col width="4.6" customWidth="1" min="17" max="17"/>
    <col width="4.6" customWidth="1" min="18" max="18"/>
    <col width="4.6" customWidth="1" min="19" max="19"/>
    <col width="4.6" customWidth="1" min="20" max="20"/>
    <col width="4.6" customWidth="1" min="21" max="21"/>
    <col width="4.6" customWidth="1" min="22" max="22"/>
    <col width="4.6" customWidth="1" min="23" max="23"/>
    <col width="4.6" customWidth="1" min="24" max="24"/>
    <col width="4.6" customWidth="1" min="25" max="25"/>
    <col width="4.6" customWidth="1" min="26" max="26"/>
    <col width="4.6" customWidth="1" min="27" max="27"/>
    <col width="4.6" customWidth="1" min="28" max="28"/>
    <col width="4.6" customWidth="1" min="29" max="29"/>
    <col width="4.6" customWidth="1" min="30" max="30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</row>
    <row r="2" ht="34" customHeight="1">
      <c r="A2" s="1" t="n"/>
      <c r="B2" s="2" t="inlineStr">
        <is>
          <t>Painel de Pessoas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3" t="inlineStr">
        <is>
          <t>FECHAMENTO DA FOLHA</t>
        </is>
      </c>
      <c r="AE2" s="1" t="n"/>
    </row>
    <row r="3" ht="20" customHeight="1">
      <c r="A3" s="1" t="n"/>
      <c r="B3" s="4" t="inlineStr">
        <is>
          <t>RH · headcount, movimentação, turnover, perfil e remuneração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5">
        <f>Calc!B7</f>
        <v/>
      </c>
      <c r="AE3" s="1" t="n"/>
    </row>
    <row r="4" ht="10" customHeight="1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</row>
    <row r="5" ht="30" customHeight="1">
      <c r="A5" s="6" t="n"/>
      <c r="B5" s="7" t="inlineStr">
        <is>
          <t>DEPTO</t>
        </is>
      </c>
      <c r="D5" s="8" t="inlineStr">
        <is>
          <t>Todos</t>
        </is>
      </c>
      <c r="G5" s="7" t="inlineStr">
        <is>
          <t>UNIDADE</t>
        </is>
      </c>
      <c r="I5" s="8" t="inlineStr">
        <is>
          <t>Todas</t>
        </is>
      </c>
      <c r="L5" s="7" t="inlineStr">
        <is>
          <t>ANO</t>
        </is>
      </c>
      <c r="N5" s="8" t="n">
        <v>2026</v>
      </c>
      <c r="P5" s="9" t="n"/>
      <c r="Q5" s="10" t="inlineStr">
        <is>
          <t>◀ Ano vale para admissões, desligamentos e turnover. Headcount é a foto do fechamento.</t>
        </is>
      </c>
      <c r="AE5" s="6" t="n"/>
    </row>
    <row r="6" ht="10" customHeight="1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</row>
    <row r="7">
      <c r="A7" s="6" t="n"/>
      <c r="B7" s="11" t="inlineStr">
        <is>
          <t>HEADCOUNT ATIVO</t>
        </is>
      </c>
      <c r="C7" s="12" t="n"/>
      <c r="D7" s="12" t="n"/>
      <c r="E7" s="12" t="n"/>
      <c r="F7" s="6" t="n"/>
      <c r="G7" s="13" t="inlineStr">
        <is>
          <t>ADMISSÕES</t>
        </is>
      </c>
      <c r="H7" s="14" t="n"/>
      <c r="I7" s="14" t="n"/>
      <c r="J7" s="14" t="n"/>
      <c r="K7" s="6" t="n"/>
      <c r="L7" s="15" t="inlineStr">
        <is>
          <t>DESLIGAMENTOS</t>
        </is>
      </c>
      <c r="M7" s="16" t="n"/>
      <c r="N7" s="16" t="n"/>
      <c r="O7" s="16" t="n"/>
      <c r="P7" s="6" t="n"/>
      <c r="Q7" s="17" t="inlineStr">
        <is>
          <t>TURNOVER</t>
        </is>
      </c>
      <c r="R7" s="18" t="n"/>
      <c r="S7" s="18" t="n"/>
      <c r="T7" s="18" t="n"/>
      <c r="U7" s="6" t="n"/>
      <c r="V7" s="19" t="inlineStr">
        <is>
          <t>SALÁRIO MÉDIO</t>
        </is>
      </c>
      <c r="W7" s="20" t="n"/>
      <c r="X7" s="20" t="n"/>
      <c r="Y7" s="20" t="n"/>
      <c r="Z7" s="6" t="n"/>
      <c r="AA7" s="21" t="inlineStr">
        <is>
          <t>MULHERES</t>
        </is>
      </c>
      <c r="AB7" s="22" t="n"/>
      <c r="AC7" s="22" t="n"/>
      <c r="AD7" s="22" t="n"/>
      <c r="AE7" s="6" t="n"/>
    </row>
    <row r="8">
      <c r="A8" s="6" t="n"/>
      <c r="B8" s="23">
        <f>Calc!B13</f>
        <v/>
      </c>
      <c r="F8" s="6" t="n"/>
      <c r="G8" s="23">
        <f>Calc!B14</f>
        <v/>
      </c>
      <c r="K8" s="6" t="n"/>
      <c r="L8" s="23">
        <f>Calc!B16</f>
        <v/>
      </c>
      <c r="P8" s="6" t="n"/>
      <c r="Q8" s="24">
        <f>Calc!B18</f>
        <v/>
      </c>
      <c r="U8" s="6" t="n"/>
      <c r="V8" s="25">
        <f>Calc!B19</f>
        <v/>
      </c>
      <c r="Z8" s="6" t="n"/>
      <c r="AA8" s="26">
        <f>Calc!B21</f>
        <v/>
      </c>
      <c r="AE8" s="6" t="n"/>
    </row>
    <row r="9">
      <c r="A9" s="6" t="n"/>
      <c r="F9" s="6" t="n"/>
      <c r="K9" s="6" t="n"/>
      <c r="P9" s="6" t="n"/>
      <c r="U9" s="6" t="n"/>
      <c r="Z9" s="6" t="n"/>
      <c r="AE9" s="6" t="n"/>
    </row>
    <row r="10">
      <c r="A10" s="6" t="n"/>
      <c r="B10" s="27">
        <f>Calc!B23</f>
        <v/>
      </c>
      <c r="C10" s="28" t="n"/>
      <c r="D10" s="28" t="n"/>
      <c r="E10" s="28" t="n"/>
      <c r="F10" s="6" t="n"/>
      <c r="G10" s="29">
        <f>Calc!B24</f>
        <v/>
      </c>
      <c r="H10" s="28" t="n"/>
      <c r="I10" s="28" t="n"/>
      <c r="J10" s="28" t="n"/>
      <c r="K10" s="6" t="n"/>
      <c r="L10" s="29">
        <f>Calc!B25</f>
        <v/>
      </c>
      <c r="M10" s="28" t="n"/>
      <c r="N10" s="28" t="n"/>
      <c r="O10" s="28" t="n"/>
      <c r="P10" s="6" t="n"/>
      <c r="Q10" s="30">
        <f>"(adm. + desl.) ÷ 2 ÷ ativos"</f>
        <v/>
      </c>
      <c r="R10" s="28" t="n"/>
      <c r="S10" s="28" t="n"/>
      <c r="T10" s="28" t="n"/>
      <c r="U10" s="6" t="n"/>
      <c r="V10" s="31">
        <f>Calc!B20</f>
        <v/>
      </c>
      <c r="W10" s="28" t="n"/>
      <c r="X10" s="28" t="n"/>
      <c r="Y10" s="28" t="n"/>
      <c r="Z10" s="6" t="n"/>
      <c r="AA10" s="32">
        <f>Calc!B22</f>
        <v/>
      </c>
      <c r="AB10" s="28" t="n"/>
      <c r="AC10" s="28" t="n"/>
      <c r="AD10" s="28" t="n"/>
      <c r="AE10" s="6" t="n"/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</row>
    <row r="12">
      <c r="A12" s="6" t="n"/>
      <c r="B12" s="33" t="inlineStr">
        <is>
          <t>Pessoas por departamento</t>
        </is>
      </c>
      <c r="C12" s="34" t="n"/>
      <c r="D12" s="34" t="n"/>
      <c r="E12" s="34" t="n"/>
      <c r="F12" s="34" t="n"/>
      <c r="G12" s="34" t="n"/>
      <c r="H12" s="34" t="n"/>
      <c r="I12" s="34" t="n"/>
      <c r="J12" s="34" t="n"/>
      <c r="K12" s="34" t="n"/>
      <c r="L12" s="6" t="n"/>
      <c r="M12" s="33" t="inlineStr">
        <is>
          <t>Admissões × desligamentos por mês</t>
        </is>
      </c>
      <c r="N12" s="34" t="n"/>
      <c r="O12" s="34" t="n"/>
      <c r="P12" s="34" t="n"/>
      <c r="Q12" s="34" t="n"/>
      <c r="R12" s="34" t="n"/>
      <c r="S12" s="34" t="n"/>
      <c r="T12" s="34" t="n"/>
      <c r="U12" s="34" t="n"/>
      <c r="V12" s="34" t="n"/>
      <c r="W12" s="34" t="n"/>
      <c r="X12" s="34" t="n"/>
      <c r="Y12" s="34" t="n"/>
      <c r="Z12" s="34" t="n"/>
      <c r="AA12" s="34" t="n"/>
      <c r="AB12" s="34" t="n"/>
      <c r="AC12" s="34" t="n"/>
      <c r="AD12" s="34" t="n"/>
      <c r="AE12" s="6" t="n"/>
    </row>
    <row r="13">
      <c r="A13" s="6" t="n"/>
      <c r="B13" s="35" t="inlineStr">
        <is>
          <t>ativos no fechamento</t>
        </is>
      </c>
      <c r="C13" s="34" t="n"/>
      <c r="D13" s="34" t="n"/>
      <c r="E13" s="34" t="n"/>
      <c r="F13" s="34" t="n"/>
      <c r="G13" s="34" t="n"/>
      <c r="H13" s="34" t="n"/>
      <c r="I13" s="34" t="n"/>
      <c r="J13" s="34" t="n"/>
      <c r="K13" s="34" t="n"/>
      <c r="L13" s="6" t="n"/>
      <c r="M13" s="35" t="inlineStr">
        <is>
          <t>ano escolhido · quando a barra laranja passa a azul, o time está encolhendo</t>
        </is>
      </c>
      <c r="N13" s="34" t="n"/>
      <c r="O13" s="34" t="n"/>
      <c r="P13" s="34" t="n"/>
      <c r="Q13" s="34" t="n"/>
      <c r="R13" s="34" t="n"/>
      <c r="S13" s="34" t="n"/>
      <c r="T13" s="34" t="n"/>
      <c r="U13" s="34" t="n"/>
      <c r="V13" s="34" t="n"/>
      <c r="W13" s="34" t="n"/>
      <c r="X13" s="34" t="n"/>
      <c r="Y13" s="34" t="n"/>
      <c r="Z13" s="34" t="n"/>
      <c r="AA13" s="34" t="n"/>
      <c r="AB13" s="34" t="n"/>
      <c r="AC13" s="34" t="n"/>
      <c r="AD13" s="34" t="n"/>
      <c r="AE13" s="6" t="n"/>
    </row>
    <row r="14">
      <c r="A14" s="6" t="n"/>
      <c r="B14" s="34" t="n"/>
      <c r="C14" s="34" t="n"/>
      <c r="D14" s="34" t="n"/>
      <c r="E14" s="34" t="n"/>
      <c r="F14" s="34" t="n"/>
      <c r="G14" s="34" t="n"/>
      <c r="H14" s="34" t="n"/>
      <c r="I14" s="34" t="n"/>
      <c r="J14" s="34" t="n"/>
      <c r="K14" s="34" t="n"/>
      <c r="L14" s="6" t="n"/>
      <c r="M14" s="34" t="n"/>
      <c r="N14" s="34" t="n"/>
      <c r="O14" s="34" t="n"/>
      <c r="P14" s="34" t="n"/>
      <c r="Q14" s="34" t="n"/>
      <c r="R14" s="34" t="n"/>
      <c r="S14" s="34" t="n"/>
      <c r="T14" s="34" t="n"/>
      <c r="U14" s="34" t="n"/>
      <c r="V14" s="34" t="n"/>
      <c r="W14" s="34" t="n"/>
      <c r="X14" s="34" t="n"/>
      <c r="Y14" s="34" t="n"/>
      <c r="Z14" s="34" t="n"/>
      <c r="AA14" s="34" t="n"/>
      <c r="AB14" s="34" t="n"/>
      <c r="AC14" s="34" t="n"/>
      <c r="AD14" s="34" t="n"/>
      <c r="AE14" s="6" t="n"/>
    </row>
    <row r="15">
      <c r="A15" s="6" t="n"/>
      <c r="B15" s="34" t="n"/>
      <c r="C15" s="34" t="n"/>
      <c r="D15" s="34" t="n"/>
      <c r="E15" s="34" t="n"/>
      <c r="F15" s="34" t="n"/>
      <c r="G15" s="34" t="n"/>
      <c r="H15" s="34" t="n"/>
      <c r="I15" s="34" t="n"/>
      <c r="J15" s="34" t="n"/>
      <c r="K15" s="34" t="n"/>
      <c r="L15" s="6" t="n"/>
      <c r="M15" s="34" t="n"/>
      <c r="N15" s="34" t="n"/>
      <c r="O15" s="34" t="n"/>
      <c r="P15" s="34" t="n"/>
      <c r="Q15" s="34" t="n"/>
      <c r="R15" s="34" t="n"/>
      <c r="S15" s="34" t="n"/>
      <c r="T15" s="34" t="n"/>
      <c r="U15" s="34" t="n"/>
      <c r="V15" s="34" t="n"/>
      <c r="W15" s="34" t="n"/>
      <c r="X15" s="34" t="n"/>
      <c r="Y15" s="34" t="n"/>
      <c r="Z15" s="34" t="n"/>
      <c r="AA15" s="34" t="n"/>
      <c r="AB15" s="34" t="n"/>
      <c r="AC15" s="34" t="n"/>
      <c r="AD15" s="34" t="n"/>
      <c r="AE15" s="6" t="n"/>
    </row>
    <row r="16">
      <c r="A16" s="6" t="n"/>
      <c r="B16" s="34" t="n"/>
      <c r="C16" s="34" t="n"/>
      <c r="D16" s="34" t="n"/>
      <c r="E16" s="34" t="n"/>
      <c r="F16" s="34" t="n"/>
      <c r="G16" s="34" t="n"/>
      <c r="H16" s="34" t="n"/>
      <c r="I16" s="34" t="n"/>
      <c r="J16" s="34" t="n"/>
      <c r="K16" s="34" t="n"/>
      <c r="L16" s="6" t="n"/>
      <c r="M16" s="34" t="n"/>
      <c r="N16" s="34" t="n"/>
      <c r="O16" s="34" t="n"/>
      <c r="P16" s="34" t="n"/>
      <c r="Q16" s="34" t="n"/>
      <c r="R16" s="34" t="n"/>
      <c r="S16" s="34" t="n"/>
      <c r="T16" s="34" t="n"/>
      <c r="U16" s="34" t="n"/>
      <c r="V16" s="34" t="n"/>
      <c r="W16" s="34" t="n"/>
      <c r="X16" s="34" t="n"/>
      <c r="Y16" s="34" t="n"/>
      <c r="Z16" s="34" t="n"/>
      <c r="AA16" s="34" t="n"/>
      <c r="AB16" s="34" t="n"/>
      <c r="AC16" s="34" t="n"/>
      <c r="AD16" s="34" t="n"/>
      <c r="AE16" s="6" t="n"/>
    </row>
    <row r="17">
      <c r="A17" s="6" t="n"/>
      <c r="B17" s="34" t="n"/>
      <c r="C17" s="34" t="n"/>
      <c r="D17" s="34" t="n"/>
      <c r="E17" s="34" t="n"/>
      <c r="F17" s="34" t="n"/>
      <c r="G17" s="34" t="n"/>
      <c r="H17" s="34" t="n"/>
      <c r="I17" s="34" t="n"/>
      <c r="J17" s="34" t="n"/>
      <c r="K17" s="34" t="n"/>
      <c r="L17" s="6" t="n"/>
      <c r="M17" s="34" t="n"/>
      <c r="N17" s="34" t="n"/>
      <c r="O17" s="34" t="n"/>
      <c r="P17" s="34" t="n"/>
      <c r="Q17" s="34" t="n"/>
      <c r="R17" s="34" t="n"/>
      <c r="S17" s="34" t="n"/>
      <c r="T17" s="34" t="n"/>
      <c r="U17" s="34" t="n"/>
      <c r="V17" s="34" t="n"/>
      <c r="W17" s="34" t="n"/>
      <c r="X17" s="34" t="n"/>
      <c r="Y17" s="34" t="n"/>
      <c r="Z17" s="34" t="n"/>
      <c r="AA17" s="34" t="n"/>
      <c r="AB17" s="34" t="n"/>
      <c r="AC17" s="34" t="n"/>
      <c r="AD17" s="34" t="n"/>
      <c r="AE17" s="6" t="n"/>
    </row>
    <row r="18">
      <c r="A18" s="6" t="n"/>
      <c r="B18" s="34" t="n"/>
      <c r="C18" s="34" t="n"/>
      <c r="D18" s="34" t="n"/>
      <c r="E18" s="34" t="n"/>
      <c r="F18" s="34" t="n"/>
      <c r="G18" s="34" t="n"/>
      <c r="H18" s="34" t="n"/>
      <c r="I18" s="34" t="n"/>
      <c r="J18" s="34" t="n"/>
      <c r="K18" s="34" t="n"/>
      <c r="L18" s="6" t="n"/>
      <c r="M18" s="34" t="n"/>
      <c r="N18" s="34" t="n"/>
      <c r="O18" s="34" t="n"/>
      <c r="P18" s="34" t="n"/>
      <c r="Q18" s="34" t="n"/>
      <c r="R18" s="34" t="n"/>
      <c r="S18" s="34" t="n"/>
      <c r="T18" s="34" t="n"/>
      <c r="U18" s="34" t="n"/>
      <c r="V18" s="34" t="n"/>
      <c r="W18" s="34" t="n"/>
      <c r="X18" s="34" t="n"/>
      <c r="Y18" s="34" t="n"/>
      <c r="Z18" s="34" t="n"/>
      <c r="AA18" s="34" t="n"/>
      <c r="AB18" s="34" t="n"/>
      <c r="AC18" s="34" t="n"/>
      <c r="AD18" s="34" t="n"/>
      <c r="AE18" s="6" t="n"/>
    </row>
    <row r="19">
      <c r="A19" s="6" t="n"/>
      <c r="B19" s="34" t="n"/>
      <c r="C19" s="34" t="n"/>
      <c r="D19" s="34" t="n"/>
      <c r="E19" s="34" t="n"/>
      <c r="F19" s="34" t="n"/>
      <c r="G19" s="34" t="n"/>
      <c r="H19" s="34" t="n"/>
      <c r="I19" s="34" t="n"/>
      <c r="J19" s="34" t="n"/>
      <c r="K19" s="34" t="n"/>
      <c r="L19" s="6" t="n"/>
      <c r="M19" s="34" t="n"/>
      <c r="N19" s="34" t="n"/>
      <c r="O19" s="34" t="n"/>
      <c r="P19" s="34" t="n"/>
      <c r="Q19" s="34" t="n"/>
      <c r="R19" s="34" t="n"/>
      <c r="S19" s="34" t="n"/>
      <c r="T19" s="34" t="n"/>
      <c r="U19" s="34" t="n"/>
      <c r="V19" s="34" t="n"/>
      <c r="W19" s="34" t="n"/>
      <c r="X19" s="34" t="n"/>
      <c r="Y19" s="34" t="n"/>
      <c r="Z19" s="34" t="n"/>
      <c r="AA19" s="34" t="n"/>
      <c r="AB19" s="34" t="n"/>
      <c r="AC19" s="34" t="n"/>
      <c r="AD19" s="34" t="n"/>
      <c r="AE19" s="6" t="n"/>
    </row>
    <row r="20">
      <c r="A20" s="6" t="n"/>
      <c r="B20" s="34" t="n"/>
      <c r="C20" s="34" t="n"/>
      <c r="D20" s="34" t="n"/>
      <c r="E20" s="34" t="n"/>
      <c r="F20" s="34" t="n"/>
      <c r="G20" s="34" t="n"/>
      <c r="H20" s="34" t="n"/>
      <c r="I20" s="34" t="n"/>
      <c r="J20" s="34" t="n"/>
      <c r="K20" s="34" t="n"/>
      <c r="L20" s="6" t="n"/>
      <c r="M20" s="34" t="n"/>
      <c r="N20" s="34" t="n"/>
      <c r="O20" s="34" t="n"/>
      <c r="P20" s="34" t="n"/>
      <c r="Q20" s="34" t="n"/>
      <c r="R20" s="34" t="n"/>
      <c r="S20" s="34" t="n"/>
      <c r="T20" s="34" t="n"/>
      <c r="U20" s="34" t="n"/>
      <c r="V20" s="34" t="n"/>
      <c r="W20" s="34" t="n"/>
      <c r="X20" s="34" t="n"/>
      <c r="Y20" s="34" t="n"/>
      <c r="Z20" s="34" t="n"/>
      <c r="AA20" s="34" t="n"/>
      <c r="AB20" s="34" t="n"/>
      <c r="AC20" s="34" t="n"/>
      <c r="AD20" s="34" t="n"/>
      <c r="AE20" s="6" t="n"/>
    </row>
    <row r="21">
      <c r="A21" s="6" t="n"/>
      <c r="B21" s="34" t="n"/>
      <c r="C21" s="34" t="n"/>
      <c r="D21" s="34" t="n"/>
      <c r="E21" s="34" t="n"/>
      <c r="F21" s="34" t="n"/>
      <c r="G21" s="34" t="n"/>
      <c r="H21" s="34" t="n"/>
      <c r="I21" s="34" t="n"/>
      <c r="J21" s="34" t="n"/>
      <c r="K21" s="34" t="n"/>
      <c r="L21" s="6" t="n"/>
      <c r="M21" s="34" t="n"/>
      <c r="N21" s="34" t="n"/>
      <c r="O21" s="34" t="n"/>
      <c r="P21" s="34" t="n"/>
      <c r="Q21" s="34" t="n"/>
      <c r="R21" s="34" t="n"/>
      <c r="S21" s="34" t="n"/>
      <c r="T21" s="34" t="n"/>
      <c r="U21" s="34" t="n"/>
      <c r="V21" s="34" t="n"/>
      <c r="W21" s="34" t="n"/>
      <c r="X21" s="34" t="n"/>
      <c r="Y21" s="34" t="n"/>
      <c r="Z21" s="34" t="n"/>
      <c r="AA21" s="34" t="n"/>
      <c r="AB21" s="34" t="n"/>
      <c r="AC21" s="34" t="n"/>
      <c r="AD21" s="34" t="n"/>
      <c r="AE21" s="6" t="n"/>
    </row>
    <row r="22">
      <c r="A22" s="6" t="n"/>
      <c r="B22" s="34" t="n"/>
      <c r="C22" s="34" t="n"/>
      <c r="D22" s="34" t="n"/>
      <c r="E22" s="34" t="n"/>
      <c r="F22" s="34" t="n"/>
      <c r="G22" s="34" t="n"/>
      <c r="H22" s="34" t="n"/>
      <c r="I22" s="34" t="n"/>
      <c r="J22" s="34" t="n"/>
      <c r="K22" s="34" t="n"/>
      <c r="L22" s="6" t="n"/>
      <c r="M22" s="34" t="n"/>
      <c r="N22" s="34" t="n"/>
      <c r="O22" s="34" t="n"/>
      <c r="P22" s="34" t="n"/>
      <c r="Q22" s="34" t="n"/>
      <c r="R22" s="34" t="n"/>
      <c r="S22" s="34" t="n"/>
      <c r="T22" s="34" t="n"/>
      <c r="U22" s="34" t="n"/>
      <c r="V22" s="34" t="n"/>
      <c r="W22" s="34" t="n"/>
      <c r="X22" s="34" t="n"/>
      <c r="Y22" s="34" t="n"/>
      <c r="Z22" s="34" t="n"/>
      <c r="AA22" s="34" t="n"/>
      <c r="AB22" s="34" t="n"/>
      <c r="AC22" s="34" t="n"/>
      <c r="AD22" s="34" t="n"/>
      <c r="AE22" s="6" t="n"/>
    </row>
    <row r="23">
      <c r="A23" s="6" t="n"/>
      <c r="B23" s="34" t="n"/>
      <c r="C23" s="34" t="n"/>
      <c r="D23" s="34" t="n"/>
      <c r="E23" s="34" t="n"/>
      <c r="F23" s="34" t="n"/>
      <c r="G23" s="34" t="n"/>
      <c r="H23" s="34" t="n"/>
      <c r="I23" s="34" t="n"/>
      <c r="J23" s="34" t="n"/>
      <c r="K23" s="34" t="n"/>
      <c r="L23" s="6" t="n"/>
      <c r="M23" s="34" t="n"/>
      <c r="N23" s="34" t="n"/>
      <c r="O23" s="34" t="n"/>
      <c r="P23" s="34" t="n"/>
      <c r="Q23" s="34" t="n"/>
      <c r="R23" s="34" t="n"/>
      <c r="S23" s="34" t="n"/>
      <c r="T23" s="34" t="n"/>
      <c r="U23" s="34" t="n"/>
      <c r="V23" s="34" t="n"/>
      <c r="W23" s="34" t="n"/>
      <c r="X23" s="34" t="n"/>
      <c r="Y23" s="34" t="n"/>
      <c r="Z23" s="34" t="n"/>
      <c r="AA23" s="34" t="n"/>
      <c r="AB23" s="34" t="n"/>
      <c r="AC23" s="34" t="n"/>
      <c r="AD23" s="34" t="n"/>
      <c r="AE23" s="6" t="n"/>
    </row>
    <row r="24">
      <c r="A24" s="6" t="n"/>
      <c r="B24" s="34" t="n"/>
      <c r="C24" s="34" t="n"/>
      <c r="D24" s="34" t="n"/>
      <c r="E24" s="34" t="n"/>
      <c r="F24" s="34" t="n"/>
      <c r="G24" s="34" t="n"/>
      <c r="H24" s="34" t="n"/>
      <c r="I24" s="34" t="n"/>
      <c r="J24" s="34" t="n"/>
      <c r="K24" s="34" t="n"/>
      <c r="L24" s="6" t="n"/>
      <c r="M24" s="34" t="n"/>
      <c r="N24" s="34" t="n"/>
      <c r="O24" s="34" t="n"/>
      <c r="P24" s="34" t="n"/>
      <c r="Q24" s="34" t="n"/>
      <c r="R24" s="34" t="n"/>
      <c r="S24" s="34" t="n"/>
      <c r="T24" s="34" t="n"/>
      <c r="U24" s="34" t="n"/>
      <c r="V24" s="34" t="n"/>
      <c r="W24" s="34" t="n"/>
      <c r="X24" s="34" t="n"/>
      <c r="Y24" s="34" t="n"/>
      <c r="Z24" s="34" t="n"/>
      <c r="AA24" s="34" t="n"/>
      <c r="AB24" s="34" t="n"/>
      <c r="AC24" s="34" t="n"/>
      <c r="AD24" s="34" t="n"/>
      <c r="AE24" s="6" t="n"/>
    </row>
    <row r="25">
      <c r="A25" s="6" t="n"/>
      <c r="B25" s="34" t="n"/>
      <c r="C25" s="34" t="n"/>
      <c r="D25" s="34" t="n"/>
      <c r="E25" s="34" t="n"/>
      <c r="F25" s="34" t="n"/>
      <c r="G25" s="34" t="n"/>
      <c r="H25" s="34" t="n"/>
      <c r="I25" s="34" t="n"/>
      <c r="J25" s="34" t="n"/>
      <c r="K25" s="34" t="n"/>
      <c r="L25" s="6" t="n"/>
      <c r="M25" s="34" t="n"/>
      <c r="N25" s="34" t="n"/>
      <c r="O25" s="34" t="n"/>
      <c r="P25" s="34" t="n"/>
      <c r="Q25" s="34" t="n"/>
      <c r="R25" s="34" t="n"/>
      <c r="S25" s="34" t="n"/>
      <c r="T25" s="34" t="n"/>
      <c r="U25" s="34" t="n"/>
      <c r="V25" s="34" t="n"/>
      <c r="W25" s="34" t="n"/>
      <c r="X25" s="34" t="n"/>
      <c r="Y25" s="34" t="n"/>
      <c r="Z25" s="34" t="n"/>
      <c r="AA25" s="34" t="n"/>
      <c r="AB25" s="34" t="n"/>
      <c r="AC25" s="34" t="n"/>
      <c r="AD25" s="34" t="n"/>
      <c r="AE25" s="6" t="n"/>
    </row>
    <row r="26">
      <c r="A26" s="6" t="n"/>
      <c r="B26" s="34" t="n"/>
      <c r="C26" s="34" t="n"/>
      <c r="D26" s="34" t="n"/>
      <c r="E26" s="34" t="n"/>
      <c r="F26" s="34" t="n"/>
      <c r="G26" s="34" t="n"/>
      <c r="H26" s="34" t="n"/>
      <c r="I26" s="34" t="n"/>
      <c r="J26" s="34" t="n"/>
      <c r="K26" s="34" t="n"/>
      <c r="L26" s="6" t="n"/>
      <c r="M26" s="34" t="n"/>
      <c r="N26" s="34" t="n"/>
      <c r="O26" s="34" t="n"/>
      <c r="P26" s="34" t="n"/>
      <c r="Q26" s="34" t="n"/>
      <c r="R26" s="34" t="n"/>
      <c r="S26" s="34" t="n"/>
      <c r="T26" s="34" t="n"/>
      <c r="U26" s="34" t="n"/>
      <c r="V26" s="34" t="n"/>
      <c r="W26" s="34" t="n"/>
      <c r="X26" s="34" t="n"/>
      <c r="Y26" s="34" t="n"/>
      <c r="Z26" s="34" t="n"/>
      <c r="AA26" s="34" t="n"/>
      <c r="AB26" s="34" t="n"/>
      <c r="AC26" s="34" t="n"/>
      <c r="AD26" s="34" t="n"/>
      <c r="AE26" s="6" t="n"/>
    </row>
    <row r="27">
      <c r="A27" s="6" t="n"/>
      <c r="B27" s="36" t="n"/>
      <c r="C27" s="36" t="n"/>
      <c r="D27" s="36" t="n"/>
      <c r="E27" s="36" t="n"/>
      <c r="F27" s="36" t="n"/>
      <c r="G27" s="36" t="n"/>
      <c r="H27" s="36" t="n"/>
      <c r="I27" s="36" t="n"/>
      <c r="J27" s="36" t="n"/>
      <c r="K27" s="36" t="n"/>
      <c r="L27" s="6" t="n"/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36" t="n"/>
      <c r="AA27" s="36" t="n"/>
      <c r="AB27" s="36" t="n"/>
      <c r="AC27" s="36" t="n"/>
      <c r="AD27" s="36" t="n"/>
      <c r="AE27" s="6" t="n"/>
    </row>
    <row r="28" ht="10" customHeight="1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</row>
    <row r="29">
      <c r="A29" s="6" t="n"/>
      <c r="B29" s="33" t="inlineStr">
        <is>
          <t>Pirâmide etária</t>
        </is>
      </c>
      <c r="C29" s="34" t="n"/>
      <c r="D29" s="34" t="n"/>
      <c r="E29" s="34" t="n"/>
      <c r="F29" s="34" t="n"/>
      <c r="G29" s="34" t="n"/>
      <c r="H29" s="34" t="n"/>
      <c r="I29" s="34" t="n"/>
      <c r="J29" s="34" t="n"/>
      <c r="K29" s="34" t="n"/>
      <c r="L29" s="34" t="n"/>
      <c r="M29" s="34" t="n"/>
      <c r="N29" s="34" t="n"/>
      <c r="O29" s="6" t="n"/>
      <c r="P29" s="33" t="inlineStr">
        <is>
          <t>Por que as pessoas saem</t>
        </is>
      </c>
      <c r="Q29" s="34" t="n"/>
      <c r="R29" s="34" t="n"/>
      <c r="S29" s="34" t="n"/>
      <c r="T29" s="34" t="n"/>
      <c r="U29" s="34" t="n"/>
      <c r="V29" s="34" t="n"/>
      <c r="W29" s="34" t="n"/>
      <c r="X29" s="6" t="n"/>
      <c r="Y29" s="33" t="inlineStr">
        <is>
          <t>Gênero</t>
        </is>
      </c>
      <c r="Z29" s="34" t="n"/>
      <c r="AA29" s="34" t="n"/>
      <c r="AB29" s="34" t="n"/>
      <c r="AC29" s="34" t="n"/>
      <c r="AD29" s="34" t="n"/>
      <c r="AE29" s="6" t="n"/>
    </row>
    <row r="30">
      <c r="A30" s="6" t="n"/>
      <c r="B30" s="35" t="inlineStr">
        <is>
          <t>ativos por faixa de idade · mulheres à direita, homens à esquerda</t>
        </is>
      </c>
      <c r="C30" s="34" t="n"/>
      <c r="D30" s="34" t="n"/>
      <c r="E30" s="34" t="n"/>
      <c r="F30" s="34" t="n"/>
      <c r="G30" s="34" t="n"/>
      <c r="H30" s="34" t="n"/>
      <c r="I30" s="34" t="n"/>
      <c r="J30" s="34" t="n"/>
      <c r="K30" s="34" t="n"/>
      <c r="L30" s="34" t="n"/>
      <c r="M30" s="34" t="n"/>
      <c r="N30" s="34" t="n"/>
      <c r="O30" s="6" t="n"/>
      <c r="P30" s="35" t="inlineStr">
        <is>
          <t>desligamentos no ano por motivo</t>
        </is>
      </c>
      <c r="Q30" s="34" t="n"/>
      <c r="R30" s="34" t="n"/>
      <c r="S30" s="34" t="n"/>
      <c r="T30" s="34" t="n"/>
      <c r="U30" s="34" t="n"/>
      <c r="V30" s="34" t="n"/>
      <c r="W30" s="34" t="n"/>
      <c r="X30" s="6" t="n"/>
      <c r="Y30" s="35" t="inlineStr">
        <is>
          <t>ativos</t>
        </is>
      </c>
      <c r="Z30" s="34" t="n"/>
      <c r="AA30" s="34" t="n"/>
      <c r="AB30" s="34" t="n"/>
      <c r="AC30" s="34" t="n"/>
      <c r="AD30" s="34" t="n"/>
      <c r="AE30" s="6" t="n"/>
    </row>
    <row r="31">
      <c r="A31" s="6" t="n"/>
      <c r="B31" s="34" t="n"/>
      <c r="C31" s="34" t="n"/>
      <c r="D31" s="34" t="n"/>
      <c r="E31" s="34" t="n"/>
      <c r="F31" s="34" t="n"/>
      <c r="G31" s="34" t="n"/>
      <c r="H31" s="34" t="n"/>
      <c r="I31" s="34" t="n"/>
      <c r="J31" s="34" t="n"/>
      <c r="K31" s="34" t="n"/>
      <c r="L31" s="34" t="n"/>
      <c r="M31" s="34" t="n"/>
      <c r="N31" s="34" t="n"/>
      <c r="O31" s="6" t="n"/>
      <c r="P31" s="34" t="n"/>
      <c r="Q31" s="34" t="n"/>
      <c r="R31" s="34" t="n"/>
      <c r="S31" s="34" t="n"/>
      <c r="T31" s="34" t="n"/>
      <c r="U31" s="34" t="n"/>
      <c r="V31" s="34" t="n"/>
      <c r="W31" s="34" t="n"/>
      <c r="X31" s="6" t="n"/>
      <c r="Y31" s="34" t="n"/>
      <c r="Z31" s="34" t="n"/>
      <c r="AA31" s="34" t="n"/>
      <c r="AB31" s="34" t="n"/>
      <c r="AC31" s="34" t="n"/>
      <c r="AD31" s="34" t="n"/>
      <c r="AE31" s="6" t="n"/>
    </row>
    <row r="32">
      <c r="A32" s="6" t="n"/>
      <c r="B32" s="34" t="n"/>
      <c r="C32" s="34" t="n"/>
      <c r="D32" s="34" t="n"/>
      <c r="E32" s="34" t="n"/>
      <c r="F32" s="34" t="n"/>
      <c r="G32" s="34" t="n"/>
      <c r="H32" s="34" t="n"/>
      <c r="I32" s="34" t="n"/>
      <c r="J32" s="34" t="n"/>
      <c r="K32" s="34" t="n"/>
      <c r="L32" s="34" t="n"/>
      <c r="M32" s="34" t="n"/>
      <c r="N32" s="34" t="n"/>
      <c r="O32" s="6" t="n"/>
      <c r="P32" s="34" t="n"/>
      <c r="Q32" s="34" t="n"/>
      <c r="R32" s="34" t="n"/>
      <c r="S32" s="34" t="n"/>
      <c r="T32" s="34" t="n"/>
      <c r="U32" s="34" t="n"/>
      <c r="V32" s="34" t="n"/>
      <c r="W32" s="34" t="n"/>
      <c r="X32" s="6" t="n"/>
      <c r="Y32" s="34" t="n"/>
      <c r="Z32" s="34" t="n"/>
      <c r="AA32" s="34" t="n"/>
      <c r="AB32" s="34" t="n"/>
      <c r="AC32" s="34" t="n"/>
      <c r="AD32" s="34" t="n"/>
      <c r="AE32" s="6" t="n"/>
    </row>
    <row r="33">
      <c r="A33" s="6" t="n"/>
      <c r="B33" s="34" t="n"/>
      <c r="C33" s="34" t="n"/>
      <c r="D33" s="34" t="n"/>
      <c r="E33" s="34" t="n"/>
      <c r="F33" s="34" t="n"/>
      <c r="G33" s="34" t="n"/>
      <c r="H33" s="34" t="n"/>
      <c r="I33" s="34" t="n"/>
      <c r="J33" s="34" t="n"/>
      <c r="K33" s="34" t="n"/>
      <c r="L33" s="34" t="n"/>
      <c r="M33" s="34" t="n"/>
      <c r="N33" s="34" t="n"/>
      <c r="O33" s="6" t="n"/>
      <c r="P33" s="34" t="n"/>
      <c r="Q33" s="34" t="n"/>
      <c r="R33" s="34" t="n"/>
      <c r="S33" s="34" t="n"/>
      <c r="T33" s="34" t="n"/>
      <c r="U33" s="34" t="n"/>
      <c r="V33" s="34" t="n"/>
      <c r="W33" s="34" t="n"/>
      <c r="X33" s="6" t="n"/>
      <c r="Y33" s="34" t="n"/>
      <c r="Z33" s="34" t="n"/>
      <c r="AA33" s="34" t="n"/>
      <c r="AB33" s="34" t="n"/>
      <c r="AC33" s="34" t="n"/>
      <c r="AD33" s="34" t="n"/>
      <c r="AE33" s="6" t="n"/>
    </row>
    <row r="34">
      <c r="A34" s="6" t="n"/>
      <c r="B34" s="34" t="n"/>
      <c r="C34" s="34" t="n"/>
      <c r="D34" s="34" t="n"/>
      <c r="E34" s="34" t="n"/>
      <c r="F34" s="34" t="n"/>
      <c r="G34" s="34" t="n"/>
      <c r="H34" s="34" t="n"/>
      <c r="I34" s="34" t="n"/>
      <c r="J34" s="34" t="n"/>
      <c r="K34" s="34" t="n"/>
      <c r="L34" s="34" t="n"/>
      <c r="M34" s="34" t="n"/>
      <c r="N34" s="34" t="n"/>
      <c r="O34" s="6" t="n"/>
      <c r="P34" s="34" t="n"/>
      <c r="Q34" s="34" t="n"/>
      <c r="R34" s="34" t="n"/>
      <c r="S34" s="34" t="n"/>
      <c r="T34" s="34" t="n"/>
      <c r="U34" s="34" t="n"/>
      <c r="V34" s="34" t="n"/>
      <c r="W34" s="34" t="n"/>
      <c r="X34" s="6" t="n"/>
      <c r="Y34" s="34" t="n"/>
      <c r="Z34" s="34" t="n"/>
      <c r="AA34" s="34" t="n"/>
      <c r="AB34" s="34" t="n"/>
      <c r="AC34" s="34" t="n"/>
      <c r="AD34" s="34" t="n"/>
      <c r="AE34" s="6" t="n"/>
    </row>
    <row r="35">
      <c r="A35" s="6" t="n"/>
      <c r="B35" s="34" t="n"/>
      <c r="C35" s="34" t="n"/>
      <c r="D35" s="34" t="n"/>
      <c r="E35" s="34" t="n"/>
      <c r="F35" s="34" t="n"/>
      <c r="G35" s="34" t="n"/>
      <c r="H35" s="34" t="n"/>
      <c r="I35" s="34" t="n"/>
      <c r="J35" s="34" t="n"/>
      <c r="K35" s="34" t="n"/>
      <c r="L35" s="34" t="n"/>
      <c r="M35" s="34" t="n"/>
      <c r="N35" s="34" t="n"/>
      <c r="O35" s="6" t="n"/>
      <c r="P35" s="34" t="n"/>
      <c r="Q35" s="34" t="n"/>
      <c r="R35" s="34" t="n"/>
      <c r="S35" s="34" t="n"/>
      <c r="T35" s="34" t="n"/>
      <c r="U35" s="34" t="n"/>
      <c r="V35" s="34" t="n"/>
      <c r="W35" s="34" t="n"/>
      <c r="X35" s="6" t="n"/>
      <c r="Y35" s="34" t="n"/>
      <c r="Z35" s="34" t="n"/>
      <c r="AA35" s="34" t="n"/>
      <c r="AB35" s="34" t="n"/>
      <c r="AC35" s="34" t="n"/>
      <c r="AD35" s="34" t="n"/>
      <c r="AE35" s="6" t="n"/>
    </row>
    <row r="36">
      <c r="A36" s="6" t="n"/>
      <c r="B36" s="34" t="n"/>
      <c r="C36" s="34" t="n"/>
      <c r="D36" s="34" t="n"/>
      <c r="E36" s="34" t="n"/>
      <c r="F36" s="34" t="n"/>
      <c r="G36" s="34" t="n"/>
      <c r="H36" s="34" t="n"/>
      <c r="I36" s="34" t="n"/>
      <c r="J36" s="34" t="n"/>
      <c r="K36" s="34" t="n"/>
      <c r="L36" s="34" t="n"/>
      <c r="M36" s="34" t="n"/>
      <c r="N36" s="34" t="n"/>
      <c r="O36" s="6" t="n"/>
      <c r="P36" s="34" t="n"/>
      <c r="Q36" s="34" t="n"/>
      <c r="R36" s="34" t="n"/>
      <c r="S36" s="34" t="n"/>
      <c r="T36" s="34" t="n"/>
      <c r="U36" s="34" t="n"/>
      <c r="V36" s="34" t="n"/>
      <c r="W36" s="34" t="n"/>
      <c r="X36" s="6" t="n"/>
      <c r="Y36" s="34" t="n"/>
      <c r="Z36" s="34" t="n"/>
      <c r="AA36" s="34" t="n"/>
      <c r="AB36" s="34" t="n"/>
      <c r="AC36" s="34" t="n"/>
      <c r="AD36" s="34" t="n"/>
      <c r="AE36" s="6" t="n"/>
    </row>
    <row r="37">
      <c r="A37" s="6" t="n"/>
      <c r="B37" s="34" t="n"/>
      <c r="C37" s="34" t="n"/>
      <c r="D37" s="34" t="n"/>
      <c r="E37" s="34" t="n"/>
      <c r="F37" s="34" t="n"/>
      <c r="G37" s="34" t="n"/>
      <c r="H37" s="34" t="n"/>
      <c r="I37" s="34" t="n"/>
      <c r="J37" s="34" t="n"/>
      <c r="K37" s="34" t="n"/>
      <c r="L37" s="34" t="n"/>
      <c r="M37" s="34" t="n"/>
      <c r="N37" s="34" t="n"/>
      <c r="O37" s="6" t="n"/>
      <c r="P37" s="34" t="n"/>
      <c r="Q37" s="34" t="n"/>
      <c r="R37" s="34" t="n"/>
      <c r="S37" s="34" t="n"/>
      <c r="T37" s="34" t="n"/>
      <c r="U37" s="34" t="n"/>
      <c r="V37" s="34" t="n"/>
      <c r="W37" s="34" t="n"/>
      <c r="X37" s="6" t="n"/>
      <c r="Y37" s="34" t="n"/>
      <c r="Z37" s="34" t="n"/>
      <c r="AA37" s="34" t="n"/>
      <c r="AB37" s="34" t="n"/>
      <c r="AC37" s="34" t="n"/>
      <c r="AD37" s="34" t="n"/>
      <c r="AE37" s="6" t="n"/>
    </row>
    <row r="38">
      <c r="A38" s="6" t="n"/>
      <c r="B38" s="34" t="n"/>
      <c r="C38" s="34" t="n"/>
      <c r="D38" s="34" t="n"/>
      <c r="E38" s="34" t="n"/>
      <c r="F38" s="34" t="n"/>
      <c r="G38" s="34" t="n"/>
      <c r="H38" s="34" t="n"/>
      <c r="I38" s="34" t="n"/>
      <c r="J38" s="34" t="n"/>
      <c r="K38" s="34" t="n"/>
      <c r="L38" s="34" t="n"/>
      <c r="M38" s="34" t="n"/>
      <c r="N38" s="34" t="n"/>
      <c r="O38" s="6" t="n"/>
      <c r="P38" s="34" t="n"/>
      <c r="Q38" s="34" t="n"/>
      <c r="R38" s="34" t="n"/>
      <c r="S38" s="34" t="n"/>
      <c r="T38" s="34" t="n"/>
      <c r="U38" s="34" t="n"/>
      <c r="V38" s="34" t="n"/>
      <c r="W38" s="34" t="n"/>
      <c r="X38" s="6" t="n"/>
      <c r="Y38" s="34" t="n"/>
      <c r="Z38" s="34" t="n"/>
      <c r="AA38" s="34" t="n"/>
      <c r="AB38" s="34" t="n"/>
      <c r="AC38" s="34" t="n"/>
      <c r="AD38" s="34" t="n"/>
      <c r="AE38" s="6" t="n"/>
    </row>
    <row r="39">
      <c r="A39" s="6" t="n"/>
      <c r="B39" s="34" t="n"/>
      <c r="C39" s="34" t="n"/>
      <c r="D39" s="34" t="n"/>
      <c r="E39" s="34" t="n"/>
      <c r="F39" s="34" t="n"/>
      <c r="G39" s="34" t="n"/>
      <c r="H39" s="34" t="n"/>
      <c r="I39" s="34" t="n"/>
      <c r="J39" s="34" t="n"/>
      <c r="K39" s="34" t="n"/>
      <c r="L39" s="34" t="n"/>
      <c r="M39" s="34" t="n"/>
      <c r="N39" s="34" t="n"/>
      <c r="O39" s="6" t="n"/>
      <c r="P39" s="34" t="n"/>
      <c r="Q39" s="34" t="n"/>
      <c r="R39" s="34" t="n"/>
      <c r="S39" s="34" t="n"/>
      <c r="T39" s="34" t="n"/>
      <c r="U39" s="34" t="n"/>
      <c r="V39" s="34" t="n"/>
      <c r="W39" s="34" t="n"/>
      <c r="X39" s="6" t="n"/>
      <c r="Y39" s="34" t="n"/>
      <c r="Z39" s="34" t="n"/>
      <c r="AA39" s="34" t="n"/>
      <c r="AB39" s="34" t="n"/>
      <c r="AC39" s="34" t="n"/>
      <c r="AD39" s="34" t="n"/>
      <c r="AE39" s="6" t="n"/>
    </row>
    <row r="40">
      <c r="A40" s="6" t="n"/>
      <c r="B40" s="34" t="n"/>
      <c r="C40" s="34" t="n"/>
      <c r="D40" s="34" t="n"/>
      <c r="E40" s="34" t="n"/>
      <c r="F40" s="34" t="n"/>
      <c r="G40" s="34" t="n"/>
      <c r="H40" s="34" t="n"/>
      <c r="I40" s="34" t="n"/>
      <c r="J40" s="34" t="n"/>
      <c r="K40" s="34" t="n"/>
      <c r="L40" s="34" t="n"/>
      <c r="M40" s="34" t="n"/>
      <c r="N40" s="34" t="n"/>
      <c r="O40" s="6" t="n"/>
      <c r="P40" s="34" t="n"/>
      <c r="Q40" s="34" t="n"/>
      <c r="R40" s="34" t="n"/>
      <c r="S40" s="34" t="n"/>
      <c r="T40" s="34" t="n"/>
      <c r="U40" s="34" t="n"/>
      <c r="V40" s="34" t="n"/>
      <c r="W40" s="34" t="n"/>
      <c r="X40" s="6" t="n"/>
      <c r="Y40" s="34" t="n"/>
      <c r="Z40" s="34" t="n"/>
      <c r="AA40" s="34" t="n"/>
      <c r="AB40" s="34" t="n"/>
      <c r="AC40" s="34" t="n"/>
      <c r="AD40" s="34" t="n"/>
      <c r="AE40" s="6" t="n"/>
    </row>
    <row r="41">
      <c r="A41" s="6" t="n"/>
      <c r="B41" s="34" t="n"/>
      <c r="C41" s="34" t="n"/>
      <c r="D41" s="34" t="n"/>
      <c r="E41" s="34" t="n"/>
      <c r="F41" s="34" t="n"/>
      <c r="G41" s="34" t="n"/>
      <c r="H41" s="34" t="n"/>
      <c r="I41" s="34" t="n"/>
      <c r="J41" s="34" t="n"/>
      <c r="K41" s="34" t="n"/>
      <c r="L41" s="34" t="n"/>
      <c r="M41" s="34" t="n"/>
      <c r="N41" s="34" t="n"/>
      <c r="O41" s="6" t="n"/>
      <c r="P41" s="34" t="n"/>
      <c r="Q41" s="34" t="n"/>
      <c r="R41" s="34" t="n"/>
      <c r="S41" s="34" t="n"/>
      <c r="T41" s="34" t="n"/>
      <c r="U41" s="34" t="n"/>
      <c r="V41" s="34" t="n"/>
      <c r="W41" s="34" t="n"/>
      <c r="X41" s="6" t="n"/>
      <c r="Y41" s="34" t="n"/>
      <c r="Z41" s="34" t="n"/>
      <c r="AA41" s="34" t="n"/>
      <c r="AB41" s="34" t="n"/>
      <c r="AC41" s="34" t="n"/>
      <c r="AD41" s="34" t="n"/>
      <c r="AE41" s="6" t="n"/>
    </row>
    <row r="42">
      <c r="A42" s="6" t="n"/>
      <c r="B42" s="34" t="n"/>
      <c r="C42" s="34" t="n"/>
      <c r="D42" s="34" t="n"/>
      <c r="E42" s="34" t="n"/>
      <c r="F42" s="34" t="n"/>
      <c r="G42" s="34" t="n"/>
      <c r="H42" s="34" t="n"/>
      <c r="I42" s="34" t="n"/>
      <c r="J42" s="34" t="n"/>
      <c r="K42" s="34" t="n"/>
      <c r="L42" s="34" t="n"/>
      <c r="M42" s="34" t="n"/>
      <c r="N42" s="34" t="n"/>
      <c r="O42" s="6" t="n"/>
      <c r="P42" s="34" t="n"/>
      <c r="Q42" s="34" t="n"/>
      <c r="R42" s="34" t="n"/>
      <c r="S42" s="34" t="n"/>
      <c r="T42" s="34" t="n"/>
      <c r="U42" s="34" t="n"/>
      <c r="V42" s="34" t="n"/>
      <c r="W42" s="34" t="n"/>
      <c r="X42" s="6" t="n"/>
      <c r="Y42" s="34" t="n"/>
      <c r="Z42" s="34" t="n"/>
      <c r="AA42" s="34" t="n"/>
      <c r="AB42" s="34" t="n"/>
      <c r="AC42" s="34" t="n"/>
      <c r="AD42" s="34" t="n"/>
      <c r="AE42" s="6" t="n"/>
    </row>
    <row r="43">
      <c r="A43" s="6" t="n"/>
      <c r="B43" s="34" t="n"/>
      <c r="C43" s="34" t="n"/>
      <c r="D43" s="34" t="n"/>
      <c r="E43" s="34" t="n"/>
      <c r="F43" s="34" t="n"/>
      <c r="G43" s="34" t="n"/>
      <c r="H43" s="34" t="n"/>
      <c r="I43" s="34" t="n"/>
      <c r="J43" s="34" t="n"/>
      <c r="K43" s="34" t="n"/>
      <c r="L43" s="34" t="n"/>
      <c r="M43" s="34" t="n"/>
      <c r="N43" s="34" t="n"/>
      <c r="O43" s="6" t="n"/>
      <c r="P43" s="34" t="n"/>
      <c r="Q43" s="34" t="n"/>
      <c r="R43" s="34" t="n"/>
      <c r="S43" s="34" t="n"/>
      <c r="T43" s="34" t="n"/>
      <c r="U43" s="34" t="n"/>
      <c r="V43" s="34" t="n"/>
      <c r="W43" s="34" t="n"/>
      <c r="X43" s="6" t="n"/>
      <c r="Y43" s="34" t="n"/>
      <c r="Z43" s="34" t="n"/>
      <c r="AA43" s="34" t="n"/>
      <c r="AB43" s="34" t="n"/>
      <c r="AC43" s="34" t="n"/>
      <c r="AD43" s="34" t="n"/>
      <c r="AE43" s="6" t="n"/>
    </row>
    <row r="44">
      <c r="A44" s="6" t="n"/>
      <c r="B44" s="36" t="n"/>
      <c r="C44" s="36" t="n"/>
      <c r="D44" s="3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6" t="n"/>
      <c r="Y44" s="36" t="n"/>
      <c r="Z44" s="36" t="n"/>
      <c r="AA44" s="36" t="n"/>
      <c r="AB44" s="36" t="n"/>
      <c r="AC44" s="36" t="n"/>
      <c r="AD44" s="36" t="n"/>
      <c r="AE44" s="6" t="n"/>
    </row>
    <row r="45" ht="10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</row>
    <row r="46">
      <c r="A46" s="6" t="n"/>
      <c r="B46" s="33" t="inlineStr">
        <is>
          <t>Quadro por departamento</t>
        </is>
      </c>
      <c r="C46" s="34" t="n"/>
      <c r="D46" s="34" t="n"/>
      <c r="E46" s="34" t="n"/>
      <c r="F46" s="34" t="n"/>
      <c r="G46" s="34" t="n"/>
      <c r="H46" s="34" t="n"/>
      <c r="I46" s="34" t="n"/>
      <c r="J46" s="34" t="n"/>
      <c r="K46" s="34" t="n"/>
      <c r="L46" s="34" t="n"/>
      <c r="M46" s="34" t="n"/>
      <c r="N46" s="34" t="n"/>
      <c r="O46" s="34" t="n"/>
      <c r="P46" s="34" t="n"/>
      <c r="Q46" s="34" t="n"/>
      <c r="R46" s="34" t="n"/>
      <c r="S46" s="34" t="n"/>
      <c r="T46" s="34" t="n"/>
      <c r="U46" s="34" t="n"/>
      <c r="V46" s="34" t="n"/>
      <c r="W46" s="34" t="n"/>
      <c r="X46" s="34" t="n"/>
      <c r="Y46" s="34" t="n"/>
      <c r="Z46" s="34" t="n"/>
      <c r="AA46" s="34" t="n"/>
      <c r="AB46" s="34" t="n"/>
      <c r="AC46" s="34" t="n"/>
      <c r="AD46" s="34" t="n"/>
      <c r="AE46" s="6" t="n"/>
    </row>
    <row r="47">
      <c r="A47" s="6" t="n"/>
      <c r="B47" s="35" t="inlineStr">
        <is>
          <t>barra = salário médio · cor da avaliação: vermelho (baixa) → verde (alta)</t>
        </is>
      </c>
      <c r="C47" s="34" t="n"/>
      <c r="D47" s="34" t="n"/>
      <c r="E47" s="34" t="n"/>
      <c r="F47" s="34" t="n"/>
      <c r="G47" s="34" t="n"/>
      <c r="H47" s="34" t="n"/>
      <c r="I47" s="34" t="n"/>
      <c r="J47" s="34" t="n"/>
      <c r="K47" s="34" t="n"/>
      <c r="L47" s="34" t="n"/>
      <c r="M47" s="34" t="n"/>
      <c r="N47" s="34" t="n"/>
      <c r="O47" s="34" t="n"/>
      <c r="P47" s="34" t="n"/>
      <c r="Q47" s="34" t="n"/>
      <c r="R47" s="34" t="n"/>
      <c r="S47" s="34" t="n"/>
      <c r="T47" s="34" t="n"/>
      <c r="U47" s="34" t="n"/>
      <c r="V47" s="34" t="n"/>
      <c r="W47" s="34" t="n"/>
      <c r="X47" s="34" t="n"/>
      <c r="Y47" s="34" t="n"/>
      <c r="Z47" s="34" t="n"/>
      <c r="AA47" s="34" t="n"/>
      <c r="AB47" s="34" t="n"/>
      <c r="AC47" s="34" t="n"/>
      <c r="AD47" s="34" t="n"/>
      <c r="AE47" s="6" t="n"/>
    </row>
    <row r="48">
      <c r="A48" s="6" t="n"/>
      <c r="B48" s="37" t="inlineStr">
        <is>
          <t>DEPARTAMENTO</t>
        </is>
      </c>
      <c r="G48" s="38" t="inlineStr">
        <is>
          <t>ATIVOS</t>
        </is>
      </c>
      <c r="I48" s="38" t="inlineStr">
        <is>
          <t>% MULHERES</t>
        </is>
      </c>
      <c r="L48" s="38" t="inlineStr">
        <is>
          <t>SALÁRIO MÉDIO</t>
        </is>
      </c>
      <c r="R48" s="38" t="inlineStr">
        <is>
          <t>TEMPO DE CASA</t>
        </is>
      </c>
      <c r="U48" s="38" t="inlineStr">
        <is>
          <t>AVALIAÇÃO</t>
        </is>
      </c>
      <c r="X48" s="38" t="inlineStr">
        <is>
          <t>ADMISSÕES</t>
        </is>
      </c>
      <c r="AA48" s="38" t="inlineStr">
        <is>
          <t>DESLIGAMENTOS</t>
        </is>
      </c>
      <c r="AE48" s="6" t="n"/>
    </row>
    <row r="49" ht="20" customHeight="1">
      <c r="A49" s="6" t="n"/>
      <c r="B49" s="39">
        <f>Calc!A74</f>
        <v/>
      </c>
      <c r="C49" s="40" t="n"/>
      <c r="D49" s="40" t="n"/>
      <c r="E49" s="40" t="n"/>
      <c r="F49" s="40" t="n"/>
      <c r="G49" s="41">
        <f>Calc!B74</f>
        <v/>
      </c>
      <c r="H49" s="40" t="n"/>
      <c r="I49" s="42">
        <f>Calc!C74</f>
        <v/>
      </c>
      <c r="J49" s="40" t="n"/>
      <c r="K49" s="40" t="n"/>
      <c r="L49" s="43">
        <f>Calc!D74</f>
        <v/>
      </c>
      <c r="M49" s="40" t="n"/>
      <c r="N49" s="40" t="n"/>
      <c r="O49" s="40" t="n"/>
      <c r="P49" s="40" t="n"/>
      <c r="Q49" s="40" t="n"/>
      <c r="R49" s="44">
        <f>Calc!E74</f>
        <v/>
      </c>
      <c r="S49" s="40" t="n"/>
      <c r="T49" s="40" t="n"/>
      <c r="U49" s="45">
        <f>Calc!F74</f>
        <v/>
      </c>
      <c r="V49" s="40" t="n"/>
      <c r="W49" s="40" t="n"/>
      <c r="X49" s="41">
        <f>Calc!G74</f>
        <v/>
      </c>
      <c r="Y49" s="40" t="n"/>
      <c r="Z49" s="40" t="n"/>
      <c r="AA49" s="41">
        <f>Calc!H74</f>
        <v/>
      </c>
      <c r="AB49" s="40" t="n"/>
      <c r="AC49" s="40" t="n"/>
      <c r="AD49" s="40" t="n"/>
      <c r="AE49" s="6" t="n"/>
    </row>
    <row r="50" ht="20" customHeight="1">
      <c r="A50" s="6" t="n"/>
      <c r="B50" s="39">
        <f>Calc!A75</f>
        <v/>
      </c>
      <c r="C50" s="40" t="n"/>
      <c r="D50" s="40" t="n"/>
      <c r="E50" s="40" t="n"/>
      <c r="F50" s="40" t="n"/>
      <c r="G50" s="41">
        <f>Calc!B75</f>
        <v/>
      </c>
      <c r="H50" s="40" t="n"/>
      <c r="I50" s="42">
        <f>Calc!C75</f>
        <v/>
      </c>
      <c r="J50" s="40" t="n"/>
      <c r="K50" s="40" t="n"/>
      <c r="L50" s="43">
        <f>Calc!D75</f>
        <v/>
      </c>
      <c r="M50" s="40" t="n"/>
      <c r="N50" s="40" t="n"/>
      <c r="O50" s="40" t="n"/>
      <c r="P50" s="40" t="n"/>
      <c r="Q50" s="40" t="n"/>
      <c r="R50" s="44">
        <f>Calc!E75</f>
        <v/>
      </c>
      <c r="S50" s="40" t="n"/>
      <c r="T50" s="40" t="n"/>
      <c r="U50" s="45">
        <f>Calc!F75</f>
        <v/>
      </c>
      <c r="V50" s="40" t="n"/>
      <c r="W50" s="40" t="n"/>
      <c r="X50" s="41">
        <f>Calc!G75</f>
        <v/>
      </c>
      <c r="Y50" s="40" t="n"/>
      <c r="Z50" s="40" t="n"/>
      <c r="AA50" s="41">
        <f>Calc!H75</f>
        <v/>
      </c>
      <c r="AB50" s="40" t="n"/>
      <c r="AC50" s="40" t="n"/>
      <c r="AD50" s="40" t="n"/>
      <c r="AE50" s="6" t="n"/>
    </row>
    <row r="51" ht="20" customHeight="1">
      <c r="A51" s="6" t="n"/>
      <c r="B51" s="39">
        <f>Calc!A76</f>
        <v/>
      </c>
      <c r="C51" s="40" t="n"/>
      <c r="D51" s="40" t="n"/>
      <c r="E51" s="40" t="n"/>
      <c r="F51" s="40" t="n"/>
      <c r="G51" s="41">
        <f>Calc!B76</f>
        <v/>
      </c>
      <c r="H51" s="40" t="n"/>
      <c r="I51" s="42">
        <f>Calc!C76</f>
        <v/>
      </c>
      <c r="J51" s="40" t="n"/>
      <c r="K51" s="40" t="n"/>
      <c r="L51" s="43">
        <f>Calc!D76</f>
        <v/>
      </c>
      <c r="M51" s="40" t="n"/>
      <c r="N51" s="40" t="n"/>
      <c r="O51" s="40" t="n"/>
      <c r="P51" s="40" t="n"/>
      <c r="Q51" s="40" t="n"/>
      <c r="R51" s="44">
        <f>Calc!E76</f>
        <v/>
      </c>
      <c r="S51" s="40" t="n"/>
      <c r="T51" s="40" t="n"/>
      <c r="U51" s="45">
        <f>Calc!F76</f>
        <v/>
      </c>
      <c r="V51" s="40" t="n"/>
      <c r="W51" s="40" t="n"/>
      <c r="X51" s="41">
        <f>Calc!G76</f>
        <v/>
      </c>
      <c r="Y51" s="40" t="n"/>
      <c r="Z51" s="40" t="n"/>
      <c r="AA51" s="41">
        <f>Calc!H76</f>
        <v/>
      </c>
      <c r="AB51" s="40" t="n"/>
      <c r="AC51" s="40" t="n"/>
      <c r="AD51" s="40" t="n"/>
      <c r="AE51" s="6" t="n"/>
    </row>
    <row r="52" ht="20" customHeight="1">
      <c r="A52" s="6" t="n"/>
      <c r="B52" s="39">
        <f>Calc!A77</f>
        <v/>
      </c>
      <c r="C52" s="40" t="n"/>
      <c r="D52" s="40" t="n"/>
      <c r="E52" s="40" t="n"/>
      <c r="F52" s="40" t="n"/>
      <c r="G52" s="41">
        <f>Calc!B77</f>
        <v/>
      </c>
      <c r="H52" s="40" t="n"/>
      <c r="I52" s="42">
        <f>Calc!C77</f>
        <v/>
      </c>
      <c r="J52" s="40" t="n"/>
      <c r="K52" s="40" t="n"/>
      <c r="L52" s="43">
        <f>Calc!D77</f>
        <v/>
      </c>
      <c r="M52" s="40" t="n"/>
      <c r="N52" s="40" t="n"/>
      <c r="O52" s="40" t="n"/>
      <c r="P52" s="40" t="n"/>
      <c r="Q52" s="40" t="n"/>
      <c r="R52" s="44">
        <f>Calc!E77</f>
        <v/>
      </c>
      <c r="S52" s="40" t="n"/>
      <c r="T52" s="40" t="n"/>
      <c r="U52" s="45">
        <f>Calc!F77</f>
        <v/>
      </c>
      <c r="V52" s="40" t="n"/>
      <c r="W52" s="40" t="n"/>
      <c r="X52" s="41">
        <f>Calc!G77</f>
        <v/>
      </c>
      <c r="Y52" s="40" t="n"/>
      <c r="Z52" s="40" t="n"/>
      <c r="AA52" s="41">
        <f>Calc!H77</f>
        <v/>
      </c>
      <c r="AB52" s="40" t="n"/>
      <c r="AC52" s="40" t="n"/>
      <c r="AD52" s="40" t="n"/>
      <c r="AE52" s="6" t="n"/>
    </row>
    <row r="53" ht="20" customHeight="1">
      <c r="A53" s="6" t="n"/>
      <c r="B53" s="39">
        <f>Calc!A78</f>
        <v/>
      </c>
      <c r="C53" s="40" t="n"/>
      <c r="D53" s="40" t="n"/>
      <c r="E53" s="40" t="n"/>
      <c r="F53" s="40" t="n"/>
      <c r="G53" s="41">
        <f>Calc!B78</f>
        <v/>
      </c>
      <c r="H53" s="40" t="n"/>
      <c r="I53" s="42">
        <f>Calc!C78</f>
        <v/>
      </c>
      <c r="J53" s="40" t="n"/>
      <c r="K53" s="40" t="n"/>
      <c r="L53" s="43">
        <f>Calc!D78</f>
        <v/>
      </c>
      <c r="M53" s="40" t="n"/>
      <c r="N53" s="40" t="n"/>
      <c r="O53" s="40" t="n"/>
      <c r="P53" s="40" t="n"/>
      <c r="Q53" s="40" t="n"/>
      <c r="R53" s="44">
        <f>Calc!E78</f>
        <v/>
      </c>
      <c r="S53" s="40" t="n"/>
      <c r="T53" s="40" t="n"/>
      <c r="U53" s="45">
        <f>Calc!F78</f>
        <v/>
      </c>
      <c r="V53" s="40" t="n"/>
      <c r="W53" s="40" t="n"/>
      <c r="X53" s="41">
        <f>Calc!G78</f>
        <v/>
      </c>
      <c r="Y53" s="40" t="n"/>
      <c r="Z53" s="40" t="n"/>
      <c r="AA53" s="41">
        <f>Calc!H78</f>
        <v/>
      </c>
      <c r="AB53" s="40" t="n"/>
      <c r="AC53" s="40" t="n"/>
      <c r="AD53" s="40" t="n"/>
      <c r="AE53" s="6" t="n"/>
    </row>
    <row r="54" ht="20" customHeight="1">
      <c r="A54" s="6" t="n"/>
      <c r="B54" s="39">
        <f>Calc!A79</f>
        <v/>
      </c>
      <c r="C54" s="40" t="n"/>
      <c r="D54" s="40" t="n"/>
      <c r="E54" s="40" t="n"/>
      <c r="F54" s="40" t="n"/>
      <c r="G54" s="41">
        <f>Calc!B79</f>
        <v/>
      </c>
      <c r="H54" s="40" t="n"/>
      <c r="I54" s="42">
        <f>Calc!C79</f>
        <v/>
      </c>
      <c r="J54" s="40" t="n"/>
      <c r="K54" s="40" t="n"/>
      <c r="L54" s="43">
        <f>Calc!D79</f>
        <v/>
      </c>
      <c r="M54" s="40" t="n"/>
      <c r="N54" s="40" t="n"/>
      <c r="O54" s="40" t="n"/>
      <c r="P54" s="40" t="n"/>
      <c r="Q54" s="40" t="n"/>
      <c r="R54" s="44">
        <f>Calc!E79</f>
        <v/>
      </c>
      <c r="S54" s="40" t="n"/>
      <c r="T54" s="40" t="n"/>
      <c r="U54" s="45">
        <f>Calc!F79</f>
        <v/>
      </c>
      <c r="V54" s="40" t="n"/>
      <c r="W54" s="40" t="n"/>
      <c r="X54" s="41">
        <f>Calc!G79</f>
        <v/>
      </c>
      <c r="Y54" s="40" t="n"/>
      <c r="Z54" s="40" t="n"/>
      <c r="AA54" s="41">
        <f>Calc!H79</f>
        <v/>
      </c>
      <c r="AB54" s="40" t="n"/>
      <c r="AC54" s="40" t="n"/>
      <c r="AD54" s="40" t="n"/>
      <c r="AE54" s="6" t="n"/>
    </row>
    <row r="55" ht="20" customHeight="1">
      <c r="A55" s="6" t="n"/>
      <c r="B55" s="39">
        <f>Calc!A80</f>
        <v/>
      </c>
      <c r="C55" s="40" t="n"/>
      <c r="D55" s="40" t="n"/>
      <c r="E55" s="40" t="n"/>
      <c r="F55" s="40" t="n"/>
      <c r="G55" s="41">
        <f>Calc!B80</f>
        <v/>
      </c>
      <c r="H55" s="40" t="n"/>
      <c r="I55" s="42">
        <f>Calc!C80</f>
        <v/>
      </c>
      <c r="J55" s="40" t="n"/>
      <c r="K55" s="40" t="n"/>
      <c r="L55" s="43">
        <f>Calc!D80</f>
        <v/>
      </c>
      <c r="M55" s="40" t="n"/>
      <c r="N55" s="40" t="n"/>
      <c r="O55" s="40" t="n"/>
      <c r="P55" s="40" t="n"/>
      <c r="Q55" s="40" t="n"/>
      <c r="R55" s="44">
        <f>Calc!E80</f>
        <v/>
      </c>
      <c r="S55" s="40" t="n"/>
      <c r="T55" s="40" t="n"/>
      <c r="U55" s="45">
        <f>Calc!F80</f>
        <v/>
      </c>
      <c r="V55" s="40" t="n"/>
      <c r="W55" s="40" t="n"/>
      <c r="X55" s="41">
        <f>Calc!G80</f>
        <v/>
      </c>
      <c r="Y55" s="40" t="n"/>
      <c r="Z55" s="40" t="n"/>
      <c r="AA55" s="41">
        <f>Calc!H80</f>
        <v/>
      </c>
      <c r="AB55" s="40" t="n"/>
      <c r="AC55" s="40" t="n"/>
      <c r="AD55" s="40" t="n"/>
      <c r="AE55" s="6" t="n"/>
    </row>
    <row r="56">
      <c r="A56" s="6" t="n"/>
      <c r="B56" s="34" t="n"/>
      <c r="C56" s="34" t="n"/>
      <c r="D56" s="34" t="n"/>
      <c r="E56" s="34" t="n"/>
      <c r="F56" s="34" t="n"/>
      <c r="G56" s="34" t="n"/>
      <c r="H56" s="34" t="n"/>
      <c r="I56" s="34" t="n"/>
      <c r="J56" s="34" t="n"/>
      <c r="K56" s="34" t="n"/>
      <c r="L56" s="34" t="n"/>
      <c r="M56" s="34" t="n"/>
      <c r="N56" s="34" t="n"/>
      <c r="O56" s="34" t="n"/>
      <c r="P56" s="34" t="n"/>
      <c r="Q56" s="34" t="n"/>
      <c r="R56" s="34" t="n"/>
      <c r="S56" s="34" t="n"/>
      <c r="T56" s="34" t="n"/>
      <c r="U56" s="34" t="n"/>
      <c r="V56" s="34" t="n"/>
      <c r="W56" s="34" t="n"/>
      <c r="X56" s="34" t="n"/>
      <c r="Y56" s="34" t="n"/>
      <c r="Z56" s="34" t="n"/>
      <c r="AA56" s="34" t="n"/>
      <c r="AB56" s="34" t="n"/>
      <c r="AC56" s="34" t="n"/>
      <c r="AD56" s="34" t="n"/>
      <c r="AE56" s="6" t="n"/>
    </row>
    <row r="57">
      <c r="A57" s="6" t="n"/>
      <c r="B57" s="36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36" t="n"/>
      <c r="Z57" s="36" t="n"/>
      <c r="AA57" s="36" t="n"/>
      <c r="AB57" s="36" t="n"/>
      <c r="AC57" s="36" t="n"/>
      <c r="AD57" s="36" t="n"/>
      <c r="AE57" s="6" t="n"/>
    </row>
    <row r="58" ht="10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</row>
    <row r="59">
      <c r="A59" s="6" t="n"/>
      <c r="B59" s="46" t="inlineStr">
        <is>
          <t>Dados fictícios para estudo. Turnover = ((admissões + desligamentos) ÷ 2) ÷ headcount ativo, no período. A pirâmide etária usa um truque: os homens entram com sinal negativo e o formato de número esconde o sinal.</t>
        </is>
      </c>
      <c r="AE59" s="6" t="n"/>
    </row>
    <row r="60">
      <c r="A60" s="6" t="n"/>
      <c r="AE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</row>
  </sheetData>
  <mergeCells count="86">
    <mergeCell ref="I54:K54"/>
    <mergeCell ref="B8:E9"/>
    <mergeCell ref="AA55:AD55"/>
    <mergeCell ref="AA51:AD51"/>
    <mergeCell ref="L51:Q51"/>
    <mergeCell ref="B52:F52"/>
    <mergeCell ref="L54:Q54"/>
    <mergeCell ref="L50:Q50"/>
    <mergeCell ref="X51:Z51"/>
    <mergeCell ref="L5:M5"/>
    <mergeCell ref="N5:O5"/>
    <mergeCell ref="U51:W51"/>
    <mergeCell ref="B53:F53"/>
    <mergeCell ref="L52:Q52"/>
    <mergeCell ref="L49:Q49"/>
    <mergeCell ref="I50:K50"/>
    <mergeCell ref="U50:W50"/>
    <mergeCell ref="R48:T48"/>
    <mergeCell ref="G10:J10"/>
    <mergeCell ref="I49:K49"/>
    <mergeCell ref="AA8:AD9"/>
    <mergeCell ref="U49:W49"/>
    <mergeCell ref="AA53:AD53"/>
    <mergeCell ref="R49:T49"/>
    <mergeCell ref="B54:F54"/>
    <mergeCell ref="AA50:AD50"/>
    <mergeCell ref="X49:Z49"/>
    <mergeCell ref="L55:Q55"/>
    <mergeCell ref="G48:H48"/>
    <mergeCell ref="L8:O9"/>
    <mergeCell ref="X50:Z50"/>
    <mergeCell ref="Q5:AD5"/>
    <mergeCell ref="R53:T53"/>
    <mergeCell ref="U54:W54"/>
    <mergeCell ref="U55:W55"/>
    <mergeCell ref="I51:K51"/>
    <mergeCell ref="G49:H49"/>
    <mergeCell ref="D5:F5"/>
    <mergeCell ref="R52:T52"/>
    <mergeCell ref="V10:Y10"/>
    <mergeCell ref="X52:Z52"/>
    <mergeCell ref="L53:Q53"/>
    <mergeCell ref="AA54:AD54"/>
    <mergeCell ref="X53:Z53"/>
    <mergeCell ref="Q8:T9"/>
    <mergeCell ref="I53:K53"/>
    <mergeCell ref="U53:W53"/>
    <mergeCell ref="R51:T51"/>
    <mergeCell ref="X55:Z55"/>
    <mergeCell ref="R54:T54"/>
    <mergeCell ref="I55:K55"/>
    <mergeCell ref="B48:F48"/>
    <mergeCell ref="I52:K52"/>
    <mergeCell ref="R50:T50"/>
    <mergeCell ref="I5:K5"/>
    <mergeCell ref="U52:W52"/>
    <mergeCell ref="I48:K48"/>
    <mergeCell ref="AA10:AD10"/>
    <mergeCell ref="AA48:AD48"/>
    <mergeCell ref="L48:Q48"/>
    <mergeCell ref="Y3:AD3"/>
    <mergeCell ref="G51:H51"/>
    <mergeCell ref="B59:AD60"/>
    <mergeCell ref="G54:H54"/>
    <mergeCell ref="B5:C5"/>
    <mergeCell ref="V8:Y9"/>
    <mergeCell ref="G50:H50"/>
    <mergeCell ref="L10:O10"/>
    <mergeCell ref="U48:W48"/>
    <mergeCell ref="B50:F50"/>
    <mergeCell ref="Y2:AD2"/>
    <mergeCell ref="G52:H52"/>
    <mergeCell ref="G8:J9"/>
    <mergeCell ref="R55:T55"/>
    <mergeCell ref="G53:H53"/>
    <mergeCell ref="AA52:AD52"/>
    <mergeCell ref="X54:Z54"/>
    <mergeCell ref="G5:H5"/>
    <mergeCell ref="X48:Z48"/>
    <mergeCell ref="Q10:T10"/>
    <mergeCell ref="AA49:AD49"/>
    <mergeCell ref="B49:F49"/>
    <mergeCell ref="G55:H55"/>
    <mergeCell ref="B55:F55"/>
    <mergeCell ref="B51:F51"/>
    <mergeCell ref="B10:E10"/>
  </mergeCells>
  <conditionalFormatting sqref="G10">
    <cfRule type="expression" priority="1" dxfId="0">
      <formula>AND(ISNUMBER(G10),G10&gt;=0)</formula>
    </cfRule>
    <cfRule type="expression" priority="2" dxfId="1">
      <formula>AND(ISNUMBER(G10),G10&lt;0)</formula>
    </cfRule>
  </conditionalFormatting>
  <conditionalFormatting sqref="L10">
    <cfRule type="expression" priority="3" dxfId="1">
      <formula>AND(ISNUMBER(L10),L10&gt;0)</formula>
    </cfRule>
    <cfRule type="expression" priority="4" dxfId="0">
      <formula>AND(ISNUMBER(L10),L10&lt;=0)</formula>
    </cfRule>
  </conditionalFormatting>
  <conditionalFormatting sqref="Q8">
    <cfRule type="expression" priority="5" dxfId="2">
      <formula>Calc!$B$18&gt;0.15</formula>
    </cfRule>
  </conditionalFormatting>
  <conditionalFormatting sqref="L49:L55">
    <cfRule type="dataBar" priority="6">
      <dataBar showValue="1">
        <cfvo type="num" val="0"/>
        <cfvo type="max"/>
        <color rgb="00C9D3FB"/>
      </dataBar>
    </cfRule>
  </conditionalFormatting>
  <conditionalFormatting sqref="U49:U55">
    <cfRule type="colorScale" priority="7">
      <colorScale>
        <cfvo type="num" val="3.2"/>
        <cfvo type="num" val="3.8"/>
        <cfvo type="num" val="4.4"/>
        <color rgb="00FDE1E1"/>
        <color rgb="00FFF6DA"/>
        <color rgb="00DDF3E6"/>
      </colorScale>
    </cfRule>
  </conditionalFormatting>
  <dataValidations count="3">
    <dataValidation sqref="D5" showDropDown="0" showInputMessage="0" showErrorMessage="1" allowBlank="0" errorTitle="Escolha da lista" error="Clique na setinha e escolha uma opção da lista." type="list">
      <formula1>"Todos,Comercial,Operações,Tecnologia,Financeiro,Marketing,RH,Diretoria"</formula1>
    </dataValidation>
    <dataValidation sqref="I5" showDropDown="0" showInputMessage="0" showErrorMessage="1" allowBlank="0" errorTitle="Escolha da lista" error="Clique na setinha e escolha uma opção da lista." type="list">
      <formula1>"Todas,São Paulo,Curitiba,Recife,Belo Horizonte"</formula1>
    </dataValidation>
    <dataValidation sqref="N5" showDropDown="0" showInputMessage="0" showErrorMessage="1" allowBlank="0" errorTitle="Escolha da lista" error="Clique na setinha e escolha uma opção da lista." type="list">
      <formula1>"2025,2026"</formula1>
    </dataValidation>
  </dataValidation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FF8A4C"/>
    <outlinePr summaryBelow="1" summaryRight="1"/>
    <pageSetUpPr/>
  </sheetPr>
  <dimension ref="A1:G4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.2" customWidth="1" min="1" max="1"/>
    <col width="6" customWidth="1" min="2" max="2"/>
    <col width="22" customWidth="1" min="3" max="3"/>
    <col width="52" customWidth="1" min="4" max="4"/>
    <col width="58" customWidth="1" min="5" max="5"/>
    <col width="46" customWidth="1" min="6" max="6"/>
  </cols>
  <sheetData>
    <row r="1">
      <c r="A1" s="1" t="n"/>
      <c r="B1" s="1" t="n"/>
      <c r="C1" s="1" t="n"/>
      <c r="D1" s="1" t="n"/>
      <c r="E1" s="1" t="n"/>
      <c r="F1" s="1" t="n"/>
      <c r="G1" s="1" t="n"/>
    </row>
    <row r="2" ht="30" customHeight="1">
      <c r="A2" s="1" t="n"/>
      <c r="B2" s="47" t="inlineStr">
        <is>
          <t>Passo a passo · Painel de Pessoas</t>
        </is>
      </c>
      <c r="C2" s="1" t="n"/>
      <c r="D2" s="1" t="n"/>
      <c r="E2" s="1" t="n"/>
      <c r="F2" s="1" t="n"/>
      <c r="G2" s="1" t="n"/>
    </row>
    <row r="3">
      <c r="A3" s="1" t="n"/>
      <c r="B3" s="48" t="inlineStr">
        <is>
          <t>Siga as etapas na ordem. Cada linha diz onde clicar, o que fazer, a fórmula e o porquê.</t>
        </is>
      </c>
      <c r="C3" s="1" t="n"/>
      <c r="D3" s="1" t="n"/>
      <c r="E3" s="1" t="n"/>
      <c r="F3" s="1" t="n"/>
      <c r="G3" s="1" t="n"/>
    </row>
    <row r="5">
      <c r="B5" s="49" t="inlineStr">
        <is>
          <t>ETAPA 1 · Base de funcionários</t>
        </is>
      </c>
    </row>
    <row r="6" ht="30" customHeight="1">
      <c r="B6" s="50" t="inlineStr">
        <is>
          <t>Uma linha por pessoa. Datas de admissão e desligamento são a matéria-prima de quase todos os indicadores de RH.</t>
        </is>
      </c>
    </row>
    <row r="7">
      <c r="B7" s="51" t="inlineStr">
        <is>
          <t>Passo</t>
        </is>
      </c>
      <c r="C7" s="51" t="inlineStr">
        <is>
          <t>Onde</t>
        </is>
      </c>
      <c r="D7" s="51" t="inlineStr">
        <is>
          <t>O que fazer</t>
        </is>
      </c>
      <c r="E7" s="51" t="inlineStr">
        <is>
          <t>Fórmula / recurso</t>
        </is>
      </c>
      <c r="F7" s="51" t="inlineStr">
        <is>
          <t>Por que assim</t>
        </is>
      </c>
    </row>
    <row r="8" ht="30" customHeight="1">
      <c r="B8" s="52" t="n">
        <v>1</v>
      </c>
      <c r="C8" s="53" t="inlineStr">
        <is>
          <t>Funcionarios</t>
        </is>
      </c>
      <c r="D8" s="53" t="inlineStr">
        <is>
          <t>Transforme em Tabela (tbFuncionarios).</t>
        </is>
      </c>
      <c r="E8" s="54" t="inlineStr">
        <is>
          <t>Ctrl + Alt + T</t>
        </is>
      </c>
      <c r="F8" s="53" t="inlineStr">
        <is>
          <t>Contratou alguém? Nova linha, painel atualizado.</t>
        </is>
      </c>
    </row>
    <row r="9" ht="30" customHeight="1">
      <c r="B9" s="55" t="n">
        <v>2</v>
      </c>
      <c r="C9" s="56" t="inlineStr">
        <is>
          <t>Funcionarios › Idade</t>
        </is>
      </c>
      <c r="D9" s="56" t="inlineStr">
        <is>
          <t>Idade na data de referência (ou no desligamento).</t>
        </is>
      </c>
      <c r="E9" s="57" t="inlineStr">
        <is>
          <t>=DATADIF(D2;SE(K2="";Calc!$B$7;K2);"a")</t>
        </is>
      </c>
      <c r="F9" s="56" t="inlineStr">
        <is>
          <t>DATADIF com "a" conta anos completos. Ela não aparece no assistente, mas funciona.</t>
        </is>
      </c>
    </row>
    <row r="10" ht="30" customHeight="1">
      <c r="B10" s="52" t="n">
        <v>3</v>
      </c>
      <c r="C10" s="53" t="inlineStr">
        <is>
          <t>Funcionarios › Faixa etária</t>
        </is>
      </c>
      <c r="D10" s="53" t="inlineStr">
        <is>
          <t>Agrupe idades em faixas.</t>
        </is>
      </c>
      <c r="E10" s="58" t="inlineStr">
        <is>
          <t>=PROC(E2;{0;25;35;45;55};{"18-24";"25-34";"35-44";"45-54";"55+"})</t>
        </is>
      </c>
      <c r="F10" s="53" t="inlineStr">
        <is>
          <t>PROC aproximado acha a faixa certa: 31 cai em 25-34.</t>
        </is>
      </c>
    </row>
    <row r="11" ht="30" customHeight="1">
      <c r="B11" s="55" t="n">
        <v>4</v>
      </c>
      <c r="C11" s="56" t="inlineStr">
        <is>
          <t>Funcionarios › Status</t>
        </is>
      </c>
      <c r="D11" s="56" t="inlineStr">
        <is>
          <t>Ativo se não tem data de desligamento.</t>
        </is>
      </c>
      <c r="E11" s="57" t="inlineStr">
        <is>
          <t>=SE(K2="";"Ativo";"Desligado")</t>
        </is>
      </c>
      <c r="F11" s="56" t="inlineStr">
        <is>
          <t>Headcount = contar 'Ativo'.</t>
        </is>
      </c>
    </row>
    <row r="12" ht="30" customHeight="1">
      <c r="B12" s="52" t="n">
        <v>5</v>
      </c>
      <c r="C12" s="53" t="inlineStr">
        <is>
          <t>Funcionarios › Tempo de casa</t>
        </is>
      </c>
      <c r="D12" s="53" t="inlineStr">
        <is>
          <t>Anos entre admissão e hoje (ou desligamento).</t>
        </is>
      </c>
      <c r="E12" s="58" t="inlineStr">
        <is>
          <t>=ARRED((SE(K2="";ref;K2)-J2)/365,25;1)</t>
        </is>
      </c>
      <c r="F12" s="53" t="inlineStr">
        <is>
          <t>Datas são números: subtrair dá dias; ÷365,25 dá anos.</t>
        </is>
      </c>
    </row>
    <row r="13" ht="30" customHeight="1">
      <c r="B13" s="55" t="n">
        <v>6</v>
      </c>
      <c r="C13" s="56" t="inlineStr">
        <is>
          <t>Funcionarios › Liderança</t>
        </is>
      </c>
      <c r="D13" s="56" t="inlineStr">
        <is>
          <t>Marca quem é Coordenação, Gerência ou Diretoria.</t>
        </is>
      </c>
      <c r="E13" s="57" t="inlineStr">
        <is>
          <t>=SE(OU(H2="Coordenação";H2="Gerência";H2="Diretoria");"Sim";"Não")</t>
        </is>
      </c>
      <c r="F13" s="56" t="inlineStr">
        <is>
          <t>Permite medir diversidade na liderança.</t>
        </is>
      </c>
    </row>
    <row r="15">
      <c r="B15" s="49" t="inlineStr">
        <is>
          <t>ETAPA 2 · Os KPIs de RH</t>
        </is>
      </c>
    </row>
    <row r="16">
      <c r="B16" s="51" t="inlineStr">
        <is>
          <t>Passo</t>
        </is>
      </c>
      <c r="C16" s="51" t="inlineStr">
        <is>
          <t>Onde</t>
        </is>
      </c>
      <c r="D16" s="51" t="inlineStr">
        <is>
          <t>O que fazer</t>
        </is>
      </c>
      <c r="E16" s="51" t="inlineStr">
        <is>
          <t>Fórmula / recurso</t>
        </is>
      </c>
      <c r="F16" s="51" t="inlineStr">
        <is>
          <t>Por que assim</t>
        </is>
      </c>
    </row>
    <row r="17" ht="30" customHeight="1">
      <c r="B17" s="52" t="n">
        <v>7</v>
      </c>
      <c r="C17" s="53" t="inlineStr">
        <is>
          <t>Calc › B13</t>
        </is>
      </c>
      <c r="D17" s="53" t="inlineStr">
        <is>
          <t>Headcount ativo com filtros.</t>
        </is>
      </c>
      <c r="E17" s="58" t="inlineStr">
        <is>
          <t>=CONT.SES(Status;"Ativo";Depto;critério;Unidade;critério)</t>
        </is>
      </c>
      <c r="F17" s="53" t="inlineStr">
        <is>
          <t>Foto do fechamento: quantas pessoas estão na casa hoje.</t>
        </is>
      </c>
    </row>
    <row r="18" ht="30" customHeight="1">
      <c r="B18" s="55" t="n">
        <v>8</v>
      </c>
      <c r="C18" s="56" t="inlineStr">
        <is>
          <t>Calc › B14 e B16</t>
        </is>
      </c>
      <c r="D18" s="56" t="inlineStr">
        <is>
          <t>Admissões e desligamentos no ano.</t>
        </is>
      </c>
      <c r="E18" s="57" t="inlineStr">
        <is>
          <t>=CONT.SES(Admissão;"&gt;="&amp;início;Admissão;"&lt;="&amp;fim;…)</t>
        </is>
      </c>
      <c r="F18" s="56" t="inlineStr">
        <is>
          <t>Movimento é sempre num período: precisa de data inicial e final.</t>
        </is>
      </c>
    </row>
    <row r="19" ht="30" customHeight="1">
      <c r="B19" s="52" t="n">
        <v>9</v>
      </c>
      <c r="C19" s="53" t="inlineStr">
        <is>
          <t>Calc › B18</t>
        </is>
      </c>
      <c r="D19" s="53" t="inlineStr">
        <is>
          <t>Turnover.</t>
        </is>
      </c>
      <c r="E19" s="58" t="inlineStr">
        <is>
          <t>=SEERRO(((B14+B16)/2)/B13;0)</t>
        </is>
      </c>
      <c r="F19" s="53" t="inlineStr">
        <is>
          <t>Fórmula de mercado: média entre entradas e saídas sobre o quadro. Acima de ~15% ao ano acende alerta.</t>
        </is>
      </c>
    </row>
    <row r="20" ht="30" customHeight="1">
      <c r="B20" s="55" t="n">
        <v>10</v>
      </c>
      <c r="C20" s="56" t="inlineStr">
        <is>
          <t>Calc › B19 e B20</t>
        </is>
      </c>
      <c r="D20" s="56" t="inlineStr">
        <is>
          <t>Salário médio e folha.</t>
        </is>
      </c>
      <c r="E20" s="57" t="inlineStr">
        <is>
          <t>=MÉDIASES(Salário;Status;"Ativo";…)   ·   =SOMASES(…)</t>
        </is>
      </c>
      <c r="F20" s="56" t="inlineStr">
        <is>
          <t>Média mostra o 'típico'; folha mostra o custo total.</t>
        </is>
      </c>
    </row>
    <row r="21" ht="30" customHeight="1">
      <c r="B21" s="52" t="n">
        <v>11</v>
      </c>
      <c r="C21" s="53" t="inlineStr">
        <is>
          <t>Calc › B21 e B22</t>
        </is>
      </c>
      <c r="D21" s="53" t="inlineStr">
        <is>
          <t>Diversidade: % mulheres e % mulheres na liderança.</t>
        </is>
      </c>
      <c r="E21" s="58" t="inlineStr">
        <is>
          <t>=CONT.SES(…;Gênero;"F";Liderança;"Sim")/CONT.SES(…;Liderança;"Sim")</t>
        </is>
      </c>
      <c r="F21" s="53" t="inlineStr">
        <is>
          <t>Os dois juntos contam a história: equilíbrio geral × no topo.</t>
        </is>
      </c>
    </row>
    <row r="23">
      <c r="B23" s="49" t="inlineStr">
        <is>
          <t>ETAPA 3 · Pirâmide etária (truque de especialista)</t>
        </is>
      </c>
    </row>
    <row r="24" ht="30" customHeight="1">
      <c r="B24" s="50" t="inlineStr">
        <is>
          <t>Não existe 'gráfico de pirâmide' no Excel. Ele é um gráfico de barras com um detalhe esperto.</t>
        </is>
      </c>
    </row>
    <row r="25">
      <c r="B25" s="51" t="inlineStr">
        <is>
          <t>Passo</t>
        </is>
      </c>
      <c r="C25" s="51" t="inlineStr">
        <is>
          <t>Onde</t>
        </is>
      </c>
      <c r="D25" s="51" t="inlineStr">
        <is>
          <t>O que fazer</t>
        </is>
      </c>
      <c r="E25" s="51" t="inlineStr">
        <is>
          <t>Fórmula / recurso</t>
        </is>
      </c>
      <c r="F25" s="51" t="inlineStr">
        <is>
          <t>Por que assim</t>
        </is>
      </c>
    </row>
    <row r="26" ht="30" customHeight="1">
      <c r="B26" s="55" t="n">
        <v>12</v>
      </c>
      <c r="C26" s="56" t="inlineStr">
        <is>
          <t>Calc › seção 5</t>
        </is>
      </c>
      <c r="D26" s="56" t="inlineStr">
        <is>
          <t>Conte mulheres por faixa (positivo) e homens por faixa com sinal NEGATIVO.</t>
        </is>
      </c>
      <c r="E26" s="57" t="inlineStr">
        <is>
          <t>=-CONT.SES(…;Gênero;"M")</t>
        </is>
      </c>
      <c r="F26" s="56" t="inlineStr">
        <is>
          <t>Valor negativo faz a barra crescer para a esquerda.</t>
        </is>
      </c>
    </row>
    <row r="27" ht="30" customHeight="1">
      <c r="B27" s="52" t="n">
        <v>13</v>
      </c>
      <c r="C27" s="53" t="inlineStr">
        <is>
          <t>Inserir</t>
        </is>
      </c>
      <c r="D27" s="53" t="inlineStr">
        <is>
          <t>Gráfico de Barras Agrupadas com as duas séries.</t>
        </is>
      </c>
      <c r="E27" s="54" t="inlineStr">
        <is>
          <t>Inserir › Barras › Barra Agrupada</t>
        </is>
      </c>
      <c r="F27" s="53" t="inlineStr">
        <is>
          <t>Uma série para cada lado.</t>
        </is>
      </c>
    </row>
    <row r="28" ht="30" customHeight="1">
      <c r="B28" s="55" t="n">
        <v>14</v>
      </c>
      <c r="C28" s="56" t="inlineStr">
        <is>
          <t>Formatar Série</t>
        </is>
      </c>
      <c r="D28" s="56" t="inlineStr">
        <is>
          <t>Sobreposição 100% e largura do espaçamento 25%.</t>
        </is>
      </c>
      <c r="E28" s="59" t="inlineStr">
        <is>
          <t>Formatar Série › Sobreposição: 100%</t>
        </is>
      </c>
      <c r="F28" s="56" t="inlineStr">
        <is>
          <t>As duas barras ficam na mesma linha, uma de cada lado do zero.</t>
        </is>
      </c>
    </row>
    <row r="29" ht="30" customHeight="1">
      <c r="B29" s="52" t="n">
        <v>15</v>
      </c>
      <c r="C29" s="53" t="inlineStr">
        <is>
          <t>Formatar Eixo e rótulos</t>
        </is>
      </c>
      <c r="D29" s="53" t="inlineStr">
        <is>
          <t>Formato de número que esconde o sinal de menos.</t>
        </is>
      </c>
      <c r="E29" s="54" t="inlineStr">
        <is>
          <t>Formato: #.##0;#.##0</t>
        </is>
      </c>
      <c r="F29" s="53" t="inlineStr">
        <is>
          <t>A segunda parte do formato (negativos) é escrita sem o '-'. O gráfico mostra 12, não −12.</t>
        </is>
      </c>
    </row>
    <row r="30" ht="30" customHeight="1">
      <c r="B30" s="55" t="n">
        <v>16</v>
      </c>
      <c r="C30" s="56" t="inlineStr">
        <is>
          <t>Eixo vertical</t>
        </is>
      </c>
      <c r="D30" s="56" t="inlineStr">
        <is>
          <t>Rótulos do eixo em 'Baixo'.</t>
        </is>
      </c>
      <c r="E30" s="59" t="inlineStr">
        <is>
          <t>Formatar Eixo › Rótulos › Posição: Baixo</t>
        </is>
      </c>
      <c r="F30" s="56" t="inlineStr">
        <is>
          <t>Tira os nomes das faixas do meio da pirâmide.</t>
        </is>
      </c>
    </row>
    <row r="32">
      <c r="B32" s="49" t="inlineStr">
        <is>
          <t>ETAPA 4 · Demais visuais</t>
        </is>
      </c>
    </row>
    <row r="33">
      <c r="B33" s="51" t="inlineStr">
        <is>
          <t>Passo</t>
        </is>
      </c>
      <c r="C33" s="51" t="inlineStr">
        <is>
          <t>Onde</t>
        </is>
      </c>
      <c r="D33" s="51" t="inlineStr">
        <is>
          <t>O que fazer</t>
        </is>
      </c>
      <c r="E33" s="51" t="inlineStr">
        <is>
          <t>Fórmula / recurso</t>
        </is>
      </c>
      <c r="F33" s="51" t="inlineStr">
        <is>
          <t>Por que assim</t>
        </is>
      </c>
    </row>
    <row r="34" ht="30" customHeight="1">
      <c r="B34" s="52" t="n">
        <v>17</v>
      </c>
      <c r="C34" s="53" t="inlineStr">
        <is>
          <t>Pessoas por departamento</t>
        </is>
      </c>
      <c r="D34" s="53" t="inlineStr">
        <is>
          <t>Barras horizontais da tabela ordenada (MAIOR + ÍNDICE/CORRESP).</t>
        </is>
      </c>
      <c r="E34" s="54" t="inlineStr">
        <is>
          <t>Formatar Eixo › Categorias em ordem inversa</t>
        </is>
      </c>
      <c r="F34" s="53" t="inlineStr">
        <is>
          <t>Ranking lido de cima para baixo.</t>
        </is>
      </c>
    </row>
    <row r="35" ht="30" customHeight="1">
      <c r="B35" s="55" t="n">
        <v>18</v>
      </c>
      <c r="C35" s="56" t="inlineStr">
        <is>
          <t>Admissões × desligamentos</t>
        </is>
      </c>
      <c r="D35" s="56" t="inlineStr">
        <is>
          <t>Colunas agrupadas: azul = entra, laranja = sai.</t>
        </is>
      </c>
      <c r="E35" s="59" t="inlineStr">
        <is>
          <t>Inserir › Coluna Agrupada</t>
        </is>
      </c>
      <c r="F35" s="56" t="inlineStr">
        <is>
          <t>Mês a mês dá para ver se o time cresce ou encolhe.</t>
        </is>
      </c>
    </row>
    <row r="36" ht="30" customHeight="1">
      <c r="B36" s="52" t="n">
        <v>19</v>
      </c>
      <c r="C36" s="53" t="inlineStr">
        <is>
          <t>Gênero</t>
        </is>
      </c>
      <c r="D36" s="53" t="inlineStr">
        <is>
          <t>Rosca com 2 fatias e rótulos em %.</t>
        </is>
      </c>
      <c r="E36" s="54" t="inlineStr">
        <is>
          <t>Inserir › Rosca</t>
        </is>
      </c>
      <c r="F36" s="53" t="inlineStr">
        <is>
          <t>Rosca é ótima para 2 a 4 partes de um todo.</t>
        </is>
      </c>
    </row>
    <row r="37" ht="30" customHeight="1">
      <c r="B37" s="55" t="n">
        <v>20</v>
      </c>
      <c r="C37" s="56" t="inlineStr">
        <is>
          <t>Quadro por departamento</t>
        </is>
      </c>
      <c r="D37" s="56" t="inlineStr">
        <is>
          <t>Barras de dados no salário e escala de cores na avaliação.</t>
        </is>
      </c>
      <c r="E37" s="59" t="inlineStr">
        <is>
          <t>Formatação Condicional › Escalas de Cor › Mais Regras (mín 3,2 · ponto médio 3,8 · máx 4,4)</t>
        </is>
      </c>
      <c r="F37" s="56" t="inlineStr">
        <is>
          <t>Limites fixos: a cor tem o mesmo significado em qualquer filtro.</t>
        </is>
      </c>
    </row>
    <row r="39">
      <c r="B39" s="49" t="inlineStr">
        <is>
          <t>ETAPA 5 · Desafios para virar especialista</t>
        </is>
      </c>
    </row>
    <row r="40">
      <c r="B40" s="51" t="inlineStr">
        <is>
          <t>Passo</t>
        </is>
      </c>
      <c r="C40" s="51" t="inlineStr">
        <is>
          <t>Onde</t>
        </is>
      </c>
      <c r="D40" s="51" t="inlineStr">
        <is>
          <t>O que fazer</t>
        </is>
      </c>
      <c r="E40" s="51" t="inlineStr">
        <is>
          <t>Fórmula / recurso</t>
        </is>
      </c>
      <c r="F40" s="51" t="inlineStr">
        <is>
          <t>Por que assim</t>
        </is>
      </c>
    </row>
    <row r="41" ht="30" customHeight="1">
      <c r="B41" s="52" t="n">
        <v>21</v>
      </c>
      <c r="C41" s="53" t="inlineStr">
        <is>
          <t>Desafio 1</t>
        </is>
      </c>
      <c r="D41" s="53" t="inlineStr">
        <is>
          <t>Crie o KPI 'Absenteísmo' com uma nova tabela de faltas.</t>
        </is>
      </c>
      <c r="E41" s="54" t="inlineStr">
        <is>
          <t>Nova Tabela + SOMASES</t>
        </is>
      </c>
      <c r="F41" s="53" t="inlineStr">
        <is>
          <t>Painel de RH real cruza várias bases.</t>
        </is>
      </c>
    </row>
    <row r="42" ht="30" customHeight="1">
      <c r="B42" s="55" t="n">
        <v>22</v>
      </c>
      <c r="C42" s="56" t="inlineStr">
        <is>
          <t>Desafio 2</t>
        </is>
      </c>
      <c r="D42" s="56" t="inlineStr">
        <is>
          <t>Adicione 'Tempo médio até o desligamento' de quem saiu no ano.</t>
        </is>
      </c>
      <c r="E42" s="59" t="inlineStr">
        <is>
          <t>MÉDIASES(Tempo de casa;Status;"Desligado";…)</t>
        </is>
      </c>
      <c r="F42" s="56" t="inlineStr">
        <is>
          <t>Mostra se as pessoas saem cedo (problema de integração) ou tarde.</t>
        </is>
      </c>
    </row>
    <row r="43" ht="30" customHeight="1">
      <c r="B43" s="52" t="n">
        <v>23</v>
      </c>
      <c r="C43" s="53" t="inlineStr">
        <is>
          <t>Desafio 3</t>
        </is>
      </c>
      <c r="D43" s="53" t="inlineStr">
        <is>
          <t>Faça uma matriz Nível × Gênero com salário médio e destaque diferenças acima de 5%.</t>
        </is>
      </c>
      <c r="E43" s="54" t="inlineStr">
        <is>
          <t>MÉDIASES com dois critérios + formatação condicional</t>
        </is>
      </c>
      <c r="F43" s="53" t="inlineStr">
        <is>
          <t>Equidade salarial é tema quente em qualquer empresa.</t>
        </is>
      </c>
    </row>
  </sheetData>
  <mergeCells count="2">
    <mergeCell ref="B6:F6"/>
    <mergeCell ref="B24:F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7C0D1"/>
    <outlinePr summaryBelow="1" summaryRight="1"/>
    <pageSetUpPr/>
  </sheetPr>
  <dimension ref="A1:I80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60" t="inlineStr">
        <is>
          <t>1 · FILTROS E DATAS</t>
        </is>
      </c>
      <c r="B1" s="61" t="n"/>
      <c r="C1" s="61" t="n"/>
      <c r="D1" s="61" t="n"/>
      <c r="E1" s="61" t="n"/>
      <c r="F1" s="61" t="n"/>
      <c r="G1" s="61" t="n"/>
      <c r="H1" s="61" t="n"/>
      <c r="I1" s="61" t="n"/>
    </row>
    <row r="3">
      <c r="A3" s="62" t="inlineStr">
        <is>
          <t>Departamento escolhido</t>
        </is>
      </c>
      <c r="B3" s="63">
        <f>Dashboard!$D$5</f>
        <v/>
      </c>
    </row>
    <row r="4">
      <c r="A4" s="62" t="inlineStr">
        <is>
          <t>Unidade escolhida</t>
        </is>
      </c>
      <c r="B4" s="63">
        <f>Dashboard!$I$5</f>
        <v/>
      </c>
    </row>
    <row r="5">
      <c r="A5" s="62" t="inlineStr">
        <is>
          <t>Ano dos movimentos</t>
        </is>
      </c>
      <c r="B5" s="63">
        <f>Dashboard!$N$5</f>
        <v/>
      </c>
    </row>
    <row r="6">
      <c r="A6" s="62" t="inlineStr">
        <is>
          <t>Critério depto · unidade</t>
        </is>
      </c>
      <c r="B6" s="63">
        <f>IF($B$3="Todos","*",$B$3)</f>
        <v/>
      </c>
      <c r="C6">
        <f>IF($B$4="Todas","*",$B$4)</f>
        <v/>
      </c>
    </row>
    <row r="7">
      <c r="A7" s="62" t="inlineStr">
        <is>
          <t>Data de referência (fechamento)</t>
        </is>
      </c>
      <c r="B7" s="64" t="n">
        <v>46295</v>
      </c>
      <c r="C7" s="65" t="inlineStr">
        <is>
          <t>premissa: data do último fechamento da folha</t>
        </is>
      </c>
    </row>
    <row r="8">
      <c r="A8" s="62" t="inlineStr">
        <is>
          <t>Início do ano</t>
        </is>
      </c>
      <c r="B8" s="64">
        <f>DATE($B$5,1,1)</f>
        <v/>
      </c>
    </row>
    <row r="9">
      <c r="A9" s="62" t="inlineStr">
        <is>
          <t>Fim efetivo do ano</t>
        </is>
      </c>
      <c r="B9" s="64">
        <f>MIN(DATE($B$5,12,31),$B$7)</f>
        <v/>
      </c>
    </row>
    <row r="10">
      <c r="A10" s="62" t="inlineStr">
        <is>
          <t>Mesmo período ano anterior (fim)</t>
        </is>
      </c>
      <c r="B10" s="64">
        <f>EDATE($B$9,-12)</f>
        <v/>
      </c>
    </row>
    <row r="12">
      <c r="A12" s="60" t="inlineStr">
        <is>
          <t>2 · KPIs</t>
        </is>
      </c>
      <c r="B12" s="61" t="n"/>
      <c r="C12" s="61" t="n"/>
      <c r="D12" s="61" t="n"/>
      <c r="E12" s="61" t="n"/>
      <c r="F12" s="61" t="n"/>
      <c r="G12" s="61" t="n"/>
      <c r="H12" s="61" t="n"/>
      <c r="I12" s="61" t="n"/>
    </row>
    <row r="13">
      <c r="A13" s="62" t="inlineStr">
        <is>
          <t>Headcount ativo</t>
        </is>
      </c>
      <c r="B13" s="66">
        <f>COUNTIFS(Funcionarios!$O$2:$O$176,"Ativo",Funcionarios!$G$2:$G$176,$B$6,Funcionarios!$M$2:$M$176,$C$6)</f>
        <v/>
      </c>
    </row>
    <row r="14">
      <c r="A14" s="62" t="inlineStr">
        <is>
          <t>Admissões no ano</t>
        </is>
      </c>
      <c r="B14" s="66">
        <f>COUNTIFS(Funcionarios!$J$2:$J$176,"&gt;="&amp;$B$8,Funcionarios!$J$2:$J$176,"&lt;="&amp;$B$9,Funcionarios!$G$2:$G$176,$B$6,Funcionarios!$M$2:$M$176,$C$6)</f>
        <v/>
      </c>
    </row>
    <row r="15">
      <c r="A15" s="62" t="inlineStr">
        <is>
          <t>Admissões mesmo período ano anterior</t>
        </is>
      </c>
      <c r="B15" s="66">
        <f>COUNTIFS(Funcionarios!$J$2:$J$176,"&gt;="&amp;EDATE($B$8,-12),Funcionarios!$J$2:$J$176,"&lt;="&amp;$B$10,Funcionarios!$G$2:$G$176,$B$6,Funcionarios!$M$2:$M$176,$C$6)</f>
        <v/>
      </c>
    </row>
    <row r="16">
      <c r="A16" s="62" t="inlineStr">
        <is>
          <t>Desligamentos no ano</t>
        </is>
      </c>
      <c r="B16" s="66">
        <f>COUNTIFS(Funcionarios!$K$2:$K$176,"&gt;="&amp;$B$8,Funcionarios!$K$2:$K$176,"&lt;="&amp;$B$9,Funcionarios!$G$2:$G$176,$B$6,Funcionarios!$M$2:$M$176,$C$6)</f>
        <v/>
      </c>
    </row>
    <row r="17">
      <c r="A17" s="62" t="inlineStr">
        <is>
          <t>Desligamentos mesmo período ano anterior</t>
        </is>
      </c>
      <c r="B17" s="66">
        <f>COUNTIFS(Funcionarios!$K$2:$K$176,"&gt;="&amp;EDATE($B$8,-12),Funcionarios!$K$2:$K$176,"&lt;="&amp;$B$10,Funcionarios!$G$2:$G$176,$B$6,Funcionarios!$M$2:$M$176,$C$6)</f>
        <v/>
      </c>
    </row>
    <row r="18">
      <c r="A18" s="62" t="inlineStr">
        <is>
          <t>Turnover do período</t>
        </is>
      </c>
      <c r="B18" s="67">
        <f>IFERROR(((B14+B16)/2)/B13,0)</f>
        <v/>
      </c>
    </row>
    <row r="19">
      <c r="A19" s="62" t="inlineStr">
        <is>
          <t>Salário médio (ativos)</t>
        </is>
      </c>
      <c r="B19" s="68">
        <f>IFERROR(AVERAGEIFS(Funcionarios!$I$2:$I$176,Funcionarios!$O$2:$O$176,"Ativo",Funcionarios!$G$2:$G$176,$B$6,Funcionarios!$M$2:$M$176,$C$6),0)</f>
        <v/>
      </c>
    </row>
    <row r="20">
      <c r="A20" s="62" t="inlineStr">
        <is>
          <t>Folha mensal (ativos)</t>
        </is>
      </c>
      <c r="B20" s="68">
        <f>SUMIFS(Funcionarios!$I$2:$I$176,Funcionarios!$O$2:$O$176,"Ativo",Funcionarios!$G$2:$G$176,$B$6,Funcionarios!$M$2:$M$176,$C$6)</f>
        <v/>
      </c>
    </row>
    <row r="21">
      <c r="A21" s="62" t="inlineStr">
        <is>
          <t>% mulheres (ativos)</t>
        </is>
      </c>
      <c r="B21" s="67">
        <f>IFERROR(COUNTIFS(Funcionarios!$O$2:$O$176,"Ativo",Funcionarios!$G$2:$G$176,$B$6,Funcionarios!$M$2:$M$176,$C$6,Funcionarios!$C$2:$C$176,"F")/B13,0)</f>
        <v/>
      </c>
    </row>
    <row r="22">
      <c r="A22" s="62" t="inlineStr">
        <is>
          <t>% mulheres na liderança</t>
        </is>
      </c>
      <c r="B22" s="67">
        <f>IFERROR(COUNTIFS(Funcionarios!$O$2:$O$176,"Ativo",Funcionarios!$G$2:$G$176,$B$6,Funcionarios!$M$2:$M$176,$C$6,Funcionarios!$C$2:$C$176,"F",Funcionarios!$Q$2:$Q$176,"Sim")/COUNTIFS(Funcionarios!$O$2:$O$176,"Ativo",Funcionarios!$G$2:$G$176,$B$6,Funcionarios!$M$2:$M$176,$C$6,Funcionarios!$Q$2:$Q$176,"Sim"),0)</f>
        <v/>
      </c>
    </row>
    <row r="23">
      <c r="A23" s="62" t="inlineStr">
        <is>
          <t>Tempo médio de casa (anos)</t>
        </is>
      </c>
      <c r="B23" s="69">
        <f>IFERROR(AVERAGEIFS(Funcionarios!$P$2:$P$176,Funcionarios!$O$2:$O$176,"Ativo",Funcionarios!$G$2:$G$176,$B$6,Funcionarios!$M$2:$M$176,$C$6),0)</f>
        <v/>
      </c>
    </row>
    <row r="24">
      <c r="A24" s="62" t="inlineStr">
        <is>
          <t>Variação admissões</t>
        </is>
      </c>
      <c r="B24" s="67">
        <f>IF(B15&gt;0,B14/B15-1,"")</f>
        <v/>
      </c>
    </row>
    <row r="25">
      <c r="A25" s="62" t="inlineStr">
        <is>
          <t>Variação desligamentos</t>
        </is>
      </c>
      <c r="B25" s="67">
        <f>IF(B17&gt;0,B16/B17-1,"")</f>
        <v/>
      </c>
    </row>
    <row r="27">
      <c r="A27" s="60" t="inlineStr">
        <is>
          <t>3 · HEADCOUNT POR DEPARTAMENTO (ordenado)</t>
        </is>
      </c>
      <c r="B27" s="61" t="n"/>
      <c r="C27" s="70" t="inlineStr">
        <is>
          <t>filtro de unidade aplicado</t>
        </is>
      </c>
      <c r="D27" s="61" t="n"/>
      <c r="E27" s="61" t="n"/>
      <c r="F27" s="61" t="n"/>
      <c r="G27" s="61" t="n"/>
      <c r="H27" s="61" t="n"/>
      <c r="I27" s="61" t="n"/>
    </row>
    <row r="28">
      <c r="A28" s="71" t="inlineStr">
        <is>
          <t>Departamento</t>
        </is>
      </c>
      <c r="B28" s="71" t="inlineStr">
        <is>
          <t>Ativos</t>
        </is>
      </c>
      <c r="C28" s="71" t="inlineStr">
        <is>
          <t>Desempate</t>
        </is>
      </c>
      <c r="D28" s="71" t="inlineStr"/>
      <c r="E28" s="71" t="inlineStr">
        <is>
          <t>Ordem</t>
        </is>
      </c>
      <c r="F28" s="71" t="inlineStr">
        <is>
          <t>Depto (ordenado)</t>
        </is>
      </c>
      <c r="G28" s="71" t="inlineStr">
        <is>
          <t>Ativos</t>
        </is>
      </c>
    </row>
    <row r="29">
      <c r="A29" t="inlineStr">
        <is>
          <t>Comercial</t>
        </is>
      </c>
      <c r="B29">
        <f>COUNTIFS(Funcionarios!$O$2:$O$176,"Ativo",Funcionarios!$G$2:$G$176,A29,Funcionarios!$M$2:$M$176,$C$6)</f>
        <v/>
      </c>
      <c r="C29">
        <f>B29+ROW()/1000000</f>
        <v/>
      </c>
      <c r="E29" t="n">
        <v>1</v>
      </c>
      <c r="F29">
        <f>INDEX($A$29:$A$35,MATCH(LARGE($C$29:$C$35,E29),$C$29:$C$35,0))</f>
        <v/>
      </c>
      <c r="G29">
        <f>INDEX($B$29:$B$35,MATCH(LARGE($C$29:$C$35,E29),$C$29:$C$35,0))</f>
        <v/>
      </c>
    </row>
    <row r="30">
      <c r="A30" t="inlineStr">
        <is>
          <t>Operações</t>
        </is>
      </c>
      <c r="B30">
        <f>COUNTIFS(Funcionarios!$O$2:$O$176,"Ativo",Funcionarios!$G$2:$G$176,A30,Funcionarios!$M$2:$M$176,$C$6)</f>
        <v/>
      </c>
      <c r="C30">
        <f>B30+ROW()/1000000</f>
        <v/>
      </c>
      <c r="E30" t="n">
        <v>2</v>
      </c>
      <c r="F30">
        <f>INDEX($A$29:$A$35,MATCH(LARGE($C$29:$C$35,E30),$C$29:$C$35,0))</f>
        <v/>
      </c>
      <c r="G30">
        <f>INDEX($B$29:$B$35,MATCH(LARGE($C$29:$C$35,E30),$C$29:$C$35,0))</f>
        <v/>
      </c>
    </row>
    <row r="31">
      <c r="A31" t="inlineStr">
        <is>
          <t>Tecnologia</t>
        </is>
      </c>
      <c r="B31">
        <f>COUNTIFS(Funcionarios!$O$2:$O$176,"Ativo",Funcionarios!$G$2:$G$176,A31,Funcionarios!$M$2:$M$176,$C$6)</f>
        <v/>
      </c>
      <c r="C31">
        <f>B31+ROW()/1000000</f>
        <v/>
      </c>
      <c r="E31" t="n">
        <v>3</v>
      </c>
      <c r="F31">
        <f>INDEX($A$29:$A$35,MATCH(LARGE($C$29:$C$35,E31),$C$29:$C$35,0))</f>
        <v/>
      </c>
      <c r="G31">
        <f>INDEX($B$29:$B$35,MATCH(LARGE($C$29:$C$35,E31),$C$29:$C$35,0))</f>
        <v/>
      </c>
    </row>
    <row r="32">
      <c r="A32" t="inlineStr">
        <is>
          <t>Financeiro</t>
        </is>
      </c>
      <c r="B32">
        <f>COUNTIFS(Funcionarios!$O$2:$O$176,"Ativo",Funcionarios!$G$2:$G$176,A32,Funcionarios!$M$2:$M$176,$C$6)</f>
        <v/>
      </c>
      <c r="C32">
        <f>B32+ROW()/1000000</f>
        <v/>
      </c>
      <c r="E32" t="n">
        <v>4</v>
      </c>
      <c r="F32">
        <f>INDEX($A$29:$A$35,MATCH(LARGE($C$29:$C$35,E32),$C$29:$C$35,0))</f>
        <v/>
      </c>
      <c r="G32">
        <f>INDEX($B$29:$B$35,MATCH(LARGE($C$29:$C$35,E32),$C$29:$C$35,0))</f>
        <v/>
      </c>
    </row>
    <row r="33">
      <c r="A33" t="inlineStr">
        <is>
          <t>Marketing</t>
        </is>
      </c>
      <c r="B33">
        <f>COUNTIFS(Funcionarios!$O$2:$O$176,"Ativo",Funcionarios!$G$2:$G$176,A33,Funcionarios!$M$2:$M$176,$C$6)</f>
        <v/>
      </c>
      <c r="C33">
        <f>B33+ROW()/1000000</f>
        <v/>
      </c>
      <c r="E33" t="n">
        <v>5</v>
      </c>
      <c r="F33">
        <f>INDEX($A$29:$A$35,MATCH(LARGE($C$29:$C$35,E33),$C$29:$C$35,0))</f>
        <v/>
      </c>
      <c r="G33">
        <f>INDEX($B$29:$B$35,MATCH(LARGE($C$29:$C$35,E33),$C$29:$C$35,0))</f>
        <v/>
      </c>
    </row>
    <row r="34">
      <c r="A34" t="inlineStr">
        <is>
          <t>RH</t>
        </is>
      </c>
      <c r="B34">
        <f>COUNTIFS(Funcionarios!$O$2:$O$176,"Ativo",Funcionarios!$G$2:$G$176,A34,Funcionarios!$M$2:$M$176,$C$6)</f>
        <v/>
      </c>
      <c r="C34">
        <f>B34+ROW()/1000000</f>
        <v/>
      </c>
      <c r="E34" t="n">
        <v>6</v>
      </c>
      <c r="F34">
        <f>INDEX($A$29:$A$35,MATCH(LARGE($C$29:$C$35,E34),$C$29:$C$35,0))</f>
        <v/>
      </c>
      <c r="G34">
        <f>INDEX($B$29:$B$35,MATCH(LARGE($C$29:$C$35,E34),$C$29:$C$35,0))</f>
        <v/>
      </c>
    </row>
    <row r="35">
      <c r="A35" t="inlineStr">
        <is>
          <t>Diretoria</t>
        </is>
      </c>
      <c r="B35">
        <f>COUNTIFS(Funcionarios!$O$2:$O$176,"Ativo",Funcionarios!$G$2:$G$176,A35,Funcionarios!$M$2:$M$176,$C$6)</f>
        <v/>
      </c>
      <c r="C35">
        <f>B35+ROW()/1000000</f>
        <v/>
      </c>
      <c r="E35" t="n">
        <v>7</v>
      </c>
      <c r="F35">
        <f>INDEX($A$29:$A$35,MATCH(LARGE($C$29:$C$35,E35),$C$29:$C$35,0))</f>
        <v/>
      </c>
      <c r="G35">
        <f>INDEX($B$29:$B$35,MATCH(LARGE($C$29:$C$35,E35),$C$29:$C$35,0))</f>
        <v/>
      </c>
    </row>
    <row r="37">
      <c r="A37" s="60" t="inlineStr">
        <is>
          <t>4 · ADMISSÕES × DESLIGAMENTOS POR MÊS</t>
        </is>
      </c>
      <c r="B37" s="61" t="n"/>
      <c r="C37" s="70" t="inlineStr">
        <is>
          <t>ano escolhido</t>
        </is>
      </c>
      <c r="D37" s="61" t="n"/>
      <c r="E37" s="61" t="n"/>
      <c r="F37" s="61" t="n"/>
      <c r="G37" s="61" t="n"/>
      <c r="H37" s="61" t="n"/>
      <c r="I37" s="61" t="n"/>
    </row>
    <row r="38">
      <c r="A38" s="71" t="inlineStr">
        <is>
          <t>Mês</t>
        </is>
      </c>
      <c r="B38" s="71" t="inlineStr">
        <is>
          <t>Admissões</t>
        </is>
      </c>
      <c r="C38" s="71" t="inlineStr">
        <is>
          <t>Desligamentos</t>
        </is>
      </c>
    </row>
    <row r="39">
      <c r="A39" t="inlineStr">
        <is>
          <t>Jan</t>
        </is>
      </c>
      <c r="B39">
        <f>COUNTIFS(Funcionarios!$J$2:$J$176,"&gt;="&amp;DATE($B$5,1,1),Funcionarios!$J$2:$J$176,"&lt;="&amp;EOMONTH(DATE($B$5,1,1),0),Funcionarios!$G$2:$G$176,$B$6,Funcionarios!$M$2:$M$176,$C$6)</f>
        <v/>
      </c>
      <c r="C39">
        <f>COUNTIFS(Funcionarios!$K$2:$K$176,"&gt;="&amp;DATE($B$5,1,1),Funcionarios!$K$2:$K$176,"&lt;="&amp;EOMONTH(DATE($B$5,1,1),0),Funcionarios!$G$2:$G$176,$B$6,Funcionarios!$M$2:$M$176,$C$6)</f>
        <v/>
      </c>
    </row>
    <row r="40">
      <c r="A40" t="inlineStr">
        <is>
          <t>Fev</t>
        </is>
      </c>
      <c r="B40">
        <f>COUNTIFS(Funcionarios!$J$2:$J$176,"&gt;="&amp;DATE($B$5,2,1),Funcionarios!$J$2:$J$176,"&lt;="&amp;EOMONTH(DATE($B$5,2,1),0),Funcionarios!$G$2:$G$176,$B$6,Funcionarios!$M$2:$M$176,$C$6)</f>
        <v/>
      </c>
      <c r="C40">
        <f>COUNTIFS(Funcionarios!$K$2:$K$176,"&gt;="&amp;DATE($B$5,2,1),Funcionarios!$K$2:$K$176,"&lt;="&amp;EOMONTH(DATE($B$5,2,1),0),Funcionarios!$G$2:$G$176,$B$6,Funcionarios!$M$2:$M$176,$C$6)</f>
        <v/>
      </c>
    </row>
    <row r="41">
      <c r="A41" t="inlineStr">
        <is>
          <t>Mar</t>
        </is>
      </c>
      <c r="B41">
        <f>COUNTIFS(Funcionarios!$J$2:$J$176,"&gt;="&amp;DATE($B$5,3,1),Funcionarios!$J$2:$J$176,"&lt;="&amp;EOMONTH(DATE($B$5,3,1),0),Funcionarios!$G$2:$G$176,$B$6,Funcionarios!$M$2:$M$176,$C$6)</f>
        <v/>
      </c>
      <c r="C41">
        <f>COUNTIFS(Funcionarios!$K$2:$K$176,"&gt;="&amp;DATE($B$5,3,1),Funcionarios!$K$2:$K$176,"&lt;="&amp;EOMONTH(DATE($B$5,3,1),0),Funcionarios!$G$2:$G$176,$B$6,Funcionarios!$M$2:$M$176,$C$6)</f>
        <v/>
      </c>
    </row>
    <row r="42">
      <c r="A42" t="inlineStr">
        <is>
          <t>Abr</t>
        </is>
      </c>
      <c r="B42">
        <f>COUNTIFS(Funcionarios!$J$2:$J$176,"&gt;="&amp;DATE($B$5,4,1),Funcionarios!$J$2:$J$176,"&lt;="&amp;EOMONTH(DATE($B$5,4,1),0),Funcionarios!$G$2:$G$176,$B$6,Funcionarios!$M$2:$M$176,$C$6)</f>
        <v/>
      </c>
      <c r="C42">
        <f>COUNTIFS(Funcionarios!$K$2:$K$176,"&gt;="&amp;DATE($B$5,4,1),Funcionarios!$K$2:$K$176,"&lt;="&amp;EOMONTH(DATE($B$5,4,1),0),Funcionarios!$G$2:$G$176,$B$6,Funcionarios!$M$2:$M$176,$C$6)</f>
        <v/>
      </c>
    </row>
    <row r="43">
      <c r="A43" t="inlineStr">
        <is>
          <t>Mai</t>
        </is>
      </c>
      <c r="B43">
        <f>COUNTIFS(Funcionarios!$J$2:$J$176,"&gt;="&amp;DATE($B$5,5,1),Funcionarios!$J$2:$J$176,"&lt;="&amp;EOMONTH(DATE($B$5,5,1),0),Funcionarios!$G$2:$G$176,$B$6,Funcionarios!$M$2:$M$176,$C$6)</f>
        <v/>
      </c>
      <c r="C43">
        <f>COUNTIFS(Funcionarios!$K$2:$K$176,"&gt;="&amp;DATE($B$5,5,1),Funcionarios!$K$2:$K$176,"&lt;="&amp;EOMONTH(DATE($B$5,5,1),0),Funcionarios!$G$2:$G$176,$B$6,Funcionarios!$M$2:$M$176,$C$6)</f>
        <v/>
      </c>
    </row>
    <row r="44">
      <c r="A44" t="inlineStr">
        <is>
          <t>Jun</t>
        </is>
      </c>
      <c r="B44">
        <f>COUNTIFS(Funcionarios!$J$2:$J$176,"&gt;="&amp;DATE($B$5,6,1),Funcionarios!$J$2:$J$176,"&lt;="&amp;EOMONTH(DATE($B$5,6,1),0),Funcionarios!$G$2:$G$176,$B$6,Funcionarios!$M$2:$M$176,$C$6)</f>
        <v/>
      </c>
      <c r="C44">
        <f>COUNTIFS(Funcionarios!$K$2:$K$176,"&gt;="&amp;DATE($B$5,6,1),Funcionarios!$K$2:$K$176,"&lt;="&amp;EOMONTH(DATE($B$5,6,1),0),Funcionarios!$G$2:$G$176,$B$6,Funcionarios!$M$2:$M$176,$C$6)</f>
        <v/>
      </c>
    </row>
    <row r="45">
      <c r="A45" t="inlineStr">
        <is>
          <t>Jul</t>
        </is>
      </c>
      <c r="B45">
        <f>COUNTIFS(Funcionarios!$J$2:$J$176,"&gt;="&amp;DATE($B$5,7,1),Funcionarios!$J$2:$J$176,"&lt;="&amp;EOMONTH(DATE($B$5,7,1),0),Funcionarios!$G$2:$G$176,$B$6,Funcionarios!$M$2:$M$176,$C$6)</f>
        <v/>
      </c>
      <c r="C45">
        <f>COUNTIFS(Funcionarios!$K$2:$K$176,"&gt;="&amp;DATE($B$5,7,1),Funcionarios!$K$2:$K$176,"&lt;="&amp;EOMONTH(DATE($B$5,7,1),0),Funcionarios!$G$2:$G$176,$B$6,Funcionarios!$M$2:$M$176,$C$6)</f>
        <v/>
      </c>
    </row>
    <row r="46">
      <c r="A46" t="inlineStr">
        <is>
          <t>Ago</t>
        </is>
      </c>
      <c r="B46">
        <f>COUNTIFS(Funcionarios!$J$2:$J$176,"&gt;="&amp;DATE($B$5,8,1),Funcionarios!$J$2:$J$176,"&lt;="&amp;EOMONTH(DATE($B$5,8,1),0),Funcionarios!$G$2:$G$176,$B$6,Funcionarios!$M$2:$M$176,$C$6)</f>
        <v/>
      </c>
      <c r="C46">
        <f>COUNTIFS(Funcionarios!$K$2:$K$176,"&gt;="&amp;DATE($B$5,8,1),Funcionarios!$K$2:$K$176,"&lt;="&amp;EOMONTH(DATE($B$5,8,1),0),Funcionarios!$G$2:$G$176,$B$6,Funcionarios!$M$2:$M$176,$C$6)</f>
        <v/>
      </c>
    </row>
    <row r="47">
      <c r="A47" t="inlineStr">
        <is>
          <t>Set</t>
        </is>
      </c>
      <c r="B47">
        <f>COUNTIFS(Funcionarios!$J$2:$J$176,"&gt;="&amp;DATE($B$5,9,1),Funcionarios!$J$2:$J$176,"&lt;="&amp;EOMONTH(DATE($B$5,9,1),0),Funcionarios!$G$2:$G$176,$B$6,Funcionarios!$M$2:$M$176,$C$6)</f>
        <v/>
      </c>
      <c r="C47">
        <f>COUNTIFS(Funcionarios!$K$2:$K$176,"&gt;="&amp;DATE($B$5,9,1),Funcionarios!$K$2:$K$176,"&lt;="&amp;EOMONTH(DATE($B$5,9,1),0),Funcionarios!$G$2:$G$176,$B$6,Funcionarios!$M$2:$M$176,$C$6)</f>
        <v/>
      </c>
    </row>
    <row r="48">
      <c r="A48" t="inlineStr">
        <is>
          <t>Out</t>
        </is>
      </c>
      <c r="B48">
        <f>COUNTIFS(Funcionarios!$J$2:$J$176,"&gt;="&amp;DATE($B$5,10,1),Funcionarios!$J$2:$J$176,"&lt;="&amp;EOMONTH(DATE($B$5,10,1),0),Funcionarios!$G$2:$G$176,$B$6,Funcionarios!$M$2:$M$176,$C$6)</f>
        <v/>
      </c>
      <c r="C48">
        <f>COUNTIFS(Funcionarios!$K$2:$K$176,"&gt;="&amp;DATE($B$5,10,1),Funcionarios!$K$2:$K$176,"&lt;="&amp;EOMONTH(DATE($B$5,10,1),0),Funcionarios!$G$2:$G$176,$B$6,Funcionarios!$M$2:$M$176,$C$6)</f>
        <v/>
      </c>
    </row>
    <row r="49">
      <c r="A49" t="inlineStr">
        <is>
          <t>Nov</t>
        </is>
      </c>
      <c r="B49">
        <f>COUNTIFS(Funcionarios!$J$2:$J$176,"&gt;="&amp;DATE($B$5,11,1),Funcionarios!$J$2:$J$176,"&lt;="&amp;EOMONTH(DATE($B$5,11,1),0),Funcionarios!$G$2:$G$176,$B$6,Funcionarios!$M$2:$M$176,$C$6)</f>
        <v/>
      </c>
      <c r="C49">
        <f>COUNTIFS(Funcionarios!$K$2:$K$176,"&gt;="&amp;DATE($B$5,11,1),Funcionarios!$K$2:$K$176,"&lt;="&amp;EOMONTH(DATE($B$5,11,1),0),Funcionarios!$G$2:$G$176,$B$6,Funcionarios!$M$2:$M$176,$C$6)</f>
        <v/>
      </c>
    </row>
    <row r="50">
      <c r="A50" t="inlineStr">
        <is>
          <t>Dez</t>
        </is>
      </c>
      <c r="B50">
        <f>COUNTIFS(Funcionarios!$J$2:$J$176,"&gt;="&amp;DATE($B$5,12,1),Funcionarios!$J$2:$J$176,"&lt;="&amp;EOMONTH(DATE($B$5,12,1),0),Funcionarios!$G$2:$G$176,$B$6,Funcionarios!$M$2:$M$176,$C$6)</f>
        <v/>
      </c>
      <c r="C50">
        <f>COUNTIFS(Funcionarios!$K$2:$K$176,"&gt;="&amp;DATE($B$5,12,1),Funcionarios!$K$2:$K$176,"&lt;="&amp;EOMONTH(DATE($B$5,12,1),0),Funcionarios!$G$2:$G$176,$B$6,Funcionarios!$M$2:$M$176,$C$6)</f>
        <v/>
      </c>
    </row>
    <row r="52">
      <c r="A52" s="60" t="inlineStr">
        <is>
          <t>5 · PIRÂMIDE ETÁRIA (ativos)</t>
        </is>
      </c>
      <c r="B52" s="61" t="n"/>
      <c r="C52" s="70" t="inlineStr">
        <is>
          <t>a coluna Homens tem sinal NEGATIVO: é isso que desenha a pirâmide</t>
        </is>
      </c>
      <c r="D52" s="61" t="n"/>
      <c r="E52" s="61" t="n"/>
      <c r="F52" s="61" t="n"/>
      <c r="G52" s="61" t="n"/>
      <c r="H52" s="61" t="n"/>
      <c r="I52" s="61" t="n"/>
    </row>
    <row r="53">
      <c r="A53" s="71" t="inlineStr">
        <is>
          <t>Faixa</t>
        </is>
      </c>
      <c r="B53" s="71" t="inlineStr">
        <is>
          <t>Mulheres</t>
        </is>
      </c>
      <c r="C53" s="71" t="inlineStr">
        <is>
          <t>Homens</t>
        </is>
      </c>
    </row>
    <row r="54">
      <c r="A54" t="inlineStr">
        <is>
          <t>18-24</t>
        </is>
      </c>
      <c r="B54" s="72">
        <f>COUNTIFS(Funcionarios!$O$2:$O$176,"Ativo",Funcionarios!$G$2:$G$176,$B$6,Funcionarios!$M$2:$M$176,$C$6,Funcionarios!$F$2:$F$176,A54,Funcionarios!$C$2:$C$176,"F")</f>
        <v/>
      </c>
      <c r="C54" s="72">
        <f>-COUNTIFS(Funcionarios!$O$2:$O$176,"Ativo",Funcionarios!$G$2:$G$176,$B$6,Funcionarios!$M$2:$M$176,$C$6,Funcionarios!$F$2:$F$176,A54,Funcionarios!$C$2:$C$176,"M")</f>
        <v/>
      </c>
    </row>
    <row r="55">
      <c r="A55" t="inlineStr">
        <is>
          <t>25-34</t>
        </is>
      </c>
      <c r="B55" s="72">
        <f>COUNTIFS(Funcionarios!$O$2:$O$176,"Ativo",Funcionarios!$G$2:$G$176,$B$6,Funcionarios!$M$2:$M$176,$C$6,Funcionarios!$F$2:$F$176,A55,Funcionarios!$C$2:$C$176,"F")</f>
        <v/>
      </c>
      <c r="C55" s="72">
        <f>-COUNTIFS(Funcionarios!$O$2:$O$176,"Ativo",Funcionarios!$G$2:$G$176,$B$6,Funcionarios!$M$2:$M$176,$C$6,Funcionarios!$F$2:$F$176,A55,Funcionarios!$C$2:$C$176,"M")</f>
        <v/>
      </c>
    </row>
    <row r="56">
      <c r="A56" t="inlineStr">
        <is>
          <t>35-44</t>
        </is>
      </c>
      <c r="B56" s="72">
        <f>COUNTIFS(Funcionarios!$O$2:$O$176,"Ativo",Funcionarios!$G$2:$G$176,$B$6,Funcionarios!$M$2:$M$176,$C$6,Funcionarios!$F$2:$F$176,A56,Funcionarios!$C$2:$C$176,"F")</f>
        <v/>
      </c>
      <c r="C56" s="72">
        <f>-COUNTIFS(Funcionarios!$O$2:$O$176,"Ativo",Funcionarios!$G$2:$G$176,$B$6,Funcionarios!$M$2:$M$176,$C$6,Funcionarios!$F$2:$F$176,A56,Funcionarios!$C$2:$C$176,"M")</f>
        <v/>
      </c>
    </row>
    <row r="57">
      <c r="A57" t="inlineStr">
        <is>
          <t>45-54</t>
        </is>
      </c>
      <c r="B57" s="72">
        <f>COUNTIFS(Funcionarios!$O$2:$O$176,"Ativo",Funcionarios!$G$2:$G$176,$B$6,Funcionarios!$M$2:$M$176,$C$6,Funcionarios!$F$2:$F$176,A57,Funcionarios!$C$2:$C$176,"F")</f>
        <v/>
      </c>
      <c r="C57" s="72">
        <f>-COUNTIFS(Funcionarios!$O$2:$O$176,"Ativo",Funcionarios!$G$2:$G$176,$B$6,Funcionarios!$M$2:$M$176,$C$6,Funcionarios!$F$2:$F$176,A57,Funcionarios!$C$2:$C$176,"M")</f>
        <v/>
      </c>
    </row>
    <row r="58">
      <c r="A58" t="inlineStr">
        <is>
          <t>55+</t>
        </is>
      </c>
      <c r="B58" s="72">
        <f>COUNTIFS(Funcionarios!$O$2:$O$176,"Ativo",Funcionarios!$G$2:$G$176,$B$6,Funcionarios!$M$2:$M$176,$C$6,Funcionarios!$F$2:$F$176,A58,Funcionarios!$C$2:$C$176,"F")</f>
        <v/>
      </c>
      <c r="C58" s="72">
        <f>-COUNTIFS(Funcionarios!$O$2:$O$176,"Ativo",Funcionarios!$G$2:$G$176,$B$6,Funcionarios!$M$2:$M$176,$C$6,Funcionarios!$F$2:$F$176,A58,Funcionarios!$C$2:$C$176,"M")</f>
        <v/>
      </c>
    </row>
    <row r="60">
      <c r="A60" s="60" t="inlineStr">
        <is>
          <t>6 · MOTIVOS DE DESLIGAMENTO (ano escolhido)</t>
        </is>
      </c>
      <c r="B60" s="61" t="n"/>
      <c r="C60" s="61" t="n"/>
      <c r="D60" s="61" t="n"/>
      <c r="E60" s="61" t="n"/>
      <c r="F60" s="61" t="n"/>
      <c r="G60" s="61" t="n"/>
      <c r="H60" s="61" t="n"/>
      <c r="I60" s="61" t="n"/>
    </row>
    <row r="61">
      <c r="A61" s="71" t="inlineStr">
        <is>
          <t>Motivo</t>
        </is>
      </c>
      <c r="B61" s="71" t="inlineStr">
        <is>
          <t>Desligamentos</t>
        </is>
      </c>
    </row>
    <row r="62">
      <c r="A62" t="inlineStr">
        <is>
          <t>Pedido de demissão</t>
        </is>
      </c>
      <c r="B62">
        <f>COUNTIFS(Funcionarios!$L$2:$L$176,A62,Funcionarios!$K$2:$K$176,"&gt;="&amp;$B$8,Funcionarios!$K$2:$K$176,"&lt;="&amp;$B$9,Funcionarios!$G$2:$G$176,$B$6,Funcionarios!$M$2:$M$176,$C$6)</f>
        <v/>
      </c>
    </row>
    <row r="63">
      <c r="A63" t="inlineStr">
        <is>
          <t>Dispensa</t>
        </is>
      </c>
      <c r="B63">
        <f>COUNTIFS(Funcionarios!$L$2:$L$176,A63,Funcionarios!$K$2:$K$176,"&gt;="&amp;$B$8,Funcionarios!$K$2:$K$176,"&lt;="&amp;$B$9,Funcionarios!$G$2:$G$176,$B$6,Funcionarios!$M$2:$M$176,$C$6)</f>
        <v/>
      </c>
    </row>
    <row r="64">
      <c r="A64" t="inlineStr">
        <is>
          <t>Fim de contrato</t>
        </is>
      </c>
      <c r="B64">
        <f>COUNTIFS(Funcionarios!$L$2:$L$176,A64,Funcionarios!$K$2:$K$176,"&gt;="&amp;$B$8,Funcionarios!$K$2:$K$176,"&lt;="&amp;$B$9,Funcionarios!$G$2:$G$176,$B$6,Funcionarios!$M$2:$M$176,$C$6)</f>
        <v/>
      </c>
    </row>
    <row r="65">
      <c r="A65" t="inlineStr">
        <is>
          <t>Aposentadoria</t>
        </is>
      </c>
      <c r="B65">
        <f>COUNTIFS(Funcionarios!$L$2:$L$176,A65,Funcionarios!$K$2:$K$176,"&gt;="&amp;$B$8,Funcionarios!$K$2:$K$176,"&lt;="&amp;$B$9,Funcionarios!$G$2:$G$176,$B$6,Funcionarios!$M$2:$M$176,$C$6)</f>
        <v/>
      </c>
    </row>
    <row r="67">
      <c r="A67" s="60" t="inlineStr">
        <is>
          <t>7 · GÊNERO (ativos)</t>
        </is>
      </c>
      <c r="B67" s="61" t="n"/>
      <c r="C67" s="61" t="n"/>
      <c r="D67" s="61" t="n"/>
      <c r="E67" s="61" t="n"/>
      <c r="F67" s="61" t="n"/>
      <c r="G67" s="61" t="n"/>
      <c r="H67" s="61" t="n"/>
      <c r="I67" s="61" t="n"/>
    </row>
    <row r="68">
      <c r="A68" s="71" t="inlineStr">
        <is>
          <t>Gênero</t>
        </is>
      </c>
      <c r="B68" s="71" t="inlineStr">
        <is>
          <t>Ativos</t>
        </is>
      </c>
    </row>
    <row r="69">
      <c r="A69" t="inlineStr">
        <is>
          <t>Mulheres</t>
        </is>
      </c>
      <c r="B69">
        <f>COUNTIFS(Funcionarios!$O$2:$O$176,"Ativo",Funcionarios!$G$2:$G$176,$B$6,Funcionarios!$M$2:$M$176,$C$6,Funcionarios!$C$2:$C$176,"F")</f>
        <v/>
      </c>
    </row>
    <row r="70">
      <c r="A70" t="inlineStr">
        <is>
          <t>Homens</t>
        </is>
      </c>
      <c r="B70">
        <f>COUNTIFS(Funcionarios!$O$2:$O$176,"Ativo",Funcionarios!$G$2:$G$176,$B$6,Funcionarios!$M$2:$M$176,$C$6,Funcionarios!$C$2:$C$176,"M")</f>
        <v/>
      </c>
    </row>
    <row r="72">
      <c r="A72" s="60" t="inlineStr">
        <is>
          <t>8 · QUADRO POR DEPARTAMENTO</t>
        </is>
      </c>
      <c r="B72" s="61" t="n"/>
      <c r="C72" s="70" t="inlineStr">
        <is>
          <t>filtro de unidade aplicado · todos os departamentos</t>
        </is>
      </c>
      <c r="D72" s="61" t="n"/>
      <c r="E72" s="61" t="n"/>
      <c r="F72" s="61" t="n"/>
      <c r="G72" s="61" t="n"/>
      <c r="H72" s="61" t="n"/>
      <c r="I72" s="61" t="n"/>
    </row>
    <row r="73">
      <c r="A73" s="71" t="inlineStr">
        <is>
          <t>Departamento</t>
        </is>
      </c>
      <c r="B73" s="71" t="inlineStr">
        <is>
          <t>Ativos</t>
        </is>
      </c>
      <c r="C73" s="71" t="inlineStr">
        <is>
          <t>% mulheres</t>
        </is>
      </c>
      <c r="D73" s="71" t="inlineStr">
        <is>
          <t>Salário médio</t>
        </is>
      </c>
      <c r="E73" s="71" t="inlineStr">
        <is>
          <t>Tempo de casa</t>
        </is>
      </c>
      <c r="F73" s="71" t="inlineStr">
        <is>
          <t>Avaliação média</t>
        </is>
      </c>
      <c r="G73" s="71" t="inlineStr">
        <is>
          <t>Admissões no ano</t>
        </is>
      </c>
      <c r="H73" s="71" t="inlineStr">
        <is>
          <t>Deslig. no ano</t>
        </is>
      </c>
    </row>
    <row r="74">
      <c r="A74" t="inlineStr">
        <is>
          <t>Comercial</t>
        </is>
      </c>
      <c r="B74">
        <f>COUNTIFS(Funcionarios!$O$2:$O$176,"Ativo",Funcionarios!$G$2:$G$176,A74,Funcionarios!$M$2:$M$176,$C$6)</f>
        <v/>
      </c>
      <c r="C74" s="73">
        <f>IFERROR(COUNTIFS(Funcionarios!$O$2:$O$176,"Ativo",Funcionarios!$G$2:$G$176,A74,Funcionarios!$M$2:$M$176,$C$6,Funcionarios!$C$2:$C$176,"F")/B74,0)</f>
        <v/>
      </c>
      <c r="D74" s="74">
        <f>IFERROR(AVERAGEIFS(Funcionarios!$I$2:$I$176,Funcionarios!$O$2:$O$176,"Ativo",Funcionarios!$G$2:$G$176,A74,Funcionarios!$M$2:$M$176,$C$6),0)</f>
        <v/>
      </c>
      <c r="E74" s="75">
        <f>IFERROR(AVERAGEIFS(Funcionarios!$P$2:$P$176,Funcionarios!$O$2:$O$176,"Ativo",Funcionarios!$G$2:$G$176,A74,Funcionarios!$M$2:$M$176,$C$6),0)</f>
        <v/>
      </c>
      <c r="F74" s="75">
        <f>IFERROR(AVERAGEIFS(Funcionarios!$N$2:$N$176,Funcionarios!$O$2:$O$176,"Ativo",Funcionarios!$G$2:$G$176,A74,Funcionarios!$M$2:$M$176,$C$6),0)</f>
        <v/>
      </c>
      <c r="G74">
        <f>COUNTIFS(Funcionarios!$G$2:$G$176,A74,Funcionarios!$M$2:$M$176,$C$6,Funcionarios!$J$2:$J$176,"&gt;="&amp;$B$8,Funcionarios!$J$2:$J$176,"&lt;="&amp;$B$9)</f>
        <v/>
      </c>
      <c r="H74">
        <f>COUNTIFS(Funcionarios!$G$2:$G$176,A74,Funcionarios!$M$2:$M$176,$C$6,Funcionarios!$K$2:$K$176,"&gt;="&amp;$B$8,Funcionarios!$K$2:$K$176,"&lt;="&amp;$B$9)</f>
        <v/>
      </c>
    </row>
    <row r="75">
      <c r="A75" t="inlineStr">
        <is>
          <t>Operações</t>
        </is>
      </c>
      <c r="B75">
        <f>COUNTIFS(Funcionarios!$O$2:$O$176,"Ativo",Funcionarios!$G$2:$G$176,A75,Funcionarios!$M$2:$M$176,$C$6)</f>
        <v/>
      </c>
      <c r="C75" s="73">
        <f>IFERROR(COUNTIFS(Funcionarios!$O$2:$O$176,"Ativo",Funcionarios!$G$2:$G$176,A75,Funcionarios!$M$2:$M$176,$C$6,Funcionarios!$C$2:$C$176,"F")/B75,0)</f>
        <v/>
      </c>
      <c r="D75" s="74">
        <f>IFERROR(AVERAGEIFS(Funcionarios!$I$2:$I$176,Funcionarios!$O$2:$O$176,"Ativo",Funcionarios!$G$2:$G$176,A75,Funcionarios!$M$2:$M$176,$C$6),0)</f>
        <v/>
      </c>
      <c r="E75" s="75">
        <f>IFERROR(AVERAGEIFS(Funcionarios!$P$2:$P$176,Funcionarios!$O$2:$O$176,"Ativo",Funcionarios!$G$2:$G$176,A75,Funcionarios!$M$2:$M$176,$C$6),0)</f>
        <v/>
      </c>
      <c r="F75" s="75">
        <f>IFERROR(AVERAGEIFS(Funcionarios!$N$2:$N$176,Funcionarios!$O$2:$O$176,"Ativo",Funcionarios!$G$2:$G$176,A75,Funcionarios!$M$2:$M$176,$C$6),0)</f>
        <v/>
      </c>
      <c r="G75">
        <f>COUNTIFS(Funcionarios!$G$2:$G$176,A75,Funcionarios!$M$2:$M$176,$C$6,Funcionarios!$J$2:$J$176,"&gt;="&amp;$B$8,Funcionarios!$J$2:$J$176,"&lt;="&amp;$B$9)</f>
        <v/>
      </c>
      <c r="H75">
        <f>COUNTIFS(Funcionarios!$G$2:$G$176,A75,Funcionarios!$M$2:$M$176,$C$6,Funcionarios!$K$2:$K$176,"&gt;="&amp;$B$8,Funcionarios!$K$2:$K$176,"&lt;="&amp;$B$9)</f>
        <v/>
      </c>
    </row>
    <row r="76">
      <c r="A76" t="inlineStr">
        <is>
          <t>Tecnologia</t>
        </is>
      </c>
      <c r="B76">
        <f>COUNTIFS(Funcionarios!$O$2:$O$176,"Ativo",Funcionarios!$G$2:$G$176,A76,Funcionarios!$M$2:$M$176,$C$6)</f>
        <v/>
      </c>
      <c r="C76" s="73">
        <f>IFERROR(COUNTIFS(Funcionarios!$O$2:$O$176,"Ativo",Funcionarios!$G$2:$G$176,A76,Funcionarios!$M$2:$M$176,$C$6,Funcionarios!$C$2:$C$176,"F")/B76,0)</f>
        <v/>
      </c>
      <c r="D76" s="74">
        <f>IFERROR(AVERAGEIFS(Funcionarios!$I$2:$I$176,Funcionarios!$O$2:$O$176,"Ativo",Funcionarios!$G$2:$G$176,A76,Funcionarios!$M$2:$M$176,$C$6),0)</f>
        <v/>
      </c>
      <c r="E76" s="75">
        <f>IFERROR(AVERAGEIFS(Funcionarios!$P$2:$P$176,Funcionarios!$O$2:$O$176,"Ativo",Funcionarios!$G$2:$G$176,A76,Funcionarios!$M$2:$M$176,$C$6),0)</f>
        <v/>
      </c>
      <c r="F76" s="75">
        <f>IFERROR(AVERAGEIFS(Funcionarios!$N$2:$N$176,Funcionarios!$O$2:$O$176,"Ativo",Funcionarios!$G$2:$G$176,A76,Funcionarios!$M$2:$M$176,$C$6),0)</f>
        <v/>
      </c>
      <c r="G76">
        <f>COUNTIFS(Funcionarios!$G$2:$G$176,A76,Funcionarios!$M$2:$M$176,$C$6,Funcionarios!$J$2:$J$176,"&gt;="&amp;$B$8,Funcionarios!$J$2:$J$176,"&lt;="&amp;$B$9)</f>
        <v/>
      </c>
      <c r="H76">
        <f>COUNTIFS(Funcionarios!$G$2:$G$176,A76,Funcionarios!$M$2:$M$176,$C$6,Funcionarios!$K$2:$K$176,"&gt;="&amp;$B$8,Funcionarios!$K$2:$K$176,"&lt;="&amp;$B$9)</f>
        <v/>
      </c>
    </row>
    <row r="77">
      <c r="A77" t="inlineStr">
        <is>
          <t>Financeiro</t>
        </is>
      </c>
      <c r="B77">
        <f>COUNTIFS(Funcionarios!$O$2:$O$176,"Ativo",Funcionarios!$G$2:$G$176,A77,Funcionarios!$M$2:$M$176,$C$6)</f>
        <v/>
      </c>
      <c r="C77" s="73">
        <f>IFERROR(COUNTIFS(Funcionarios!$O$2:$O$176,"Ativo",Funcionarios!$G$2:$G$176,A77,Funcionarios!$M$2:$M$176,$C$6,Funcionarios!$C$2:$C$176,"F")/B77,0)</f>
        <v/>
      </c>
      <c r="D77" s="74">
        <f>IFERROR(AVERAGEIFS(Funcionarios!$I$2:$I$176,Funcionarios!$O$2:$O$176,"Ativo",Funcionarios!$G$2:$G$176,A77,Funcionarios!$M$2:$M$176,$C$6),0)</f>
        <v/>
      </c>
      <c r="E77" s="75">
        <f>IFERROR(AVERAGEIFS(Funcionarios!$P$2:$P$176,Funcionarios!$O$2:$O$176,"Ativo",Funcionarios!$G$2:$G$176,A77,Funcionarios!$M$2:$M$176,$C$6),0)</f>
        <v/>
      </c>
      <c r="F77" s="75">
        <f>IFERROR(AVERAGEIFS(Funcionarios!$N$2:$N$176,Funcionarios!$O$2:$O$176,"Ativo",Funcionarios!$G$2:$G$176,A77,Funcionarios!$M$2:$M$176,$C$6),0)</f>
        <v/>
      </c>
      <c r="G77">
        <f>COUNTIFS(Funcionarios!$G$2:$G$176,A77,Funcionarios!$M$2:$M$176,$C$6,Funcionarios!$J$2:$J$176,"&gt;="&amp;$B$8,Funcionarios!$J$2:$J$176,"&lt;="&amp;$B$9)</f>
        <v/>
      </c>
      <c r="H77">
        <f>COUNTIFS(Funcionarios!$G$2:$G$176,A77,Funcionarios!$M$2:$M$176,$C$6,Funcionarios!$K$2:$K$176,"&gt;="&amp;$B$8,Funcionarios!$K$2:$K$176,"&lt;="&amp;$B$9)</f>
        <v/>
      </c>
    </row>
    <row r="78">
      <c r="A78" t="inlineStr">
        <is>
          <t>Marketing</t>
        </is>
      </c>
      <c r="B78">
        <f>COUNTIFS(Funcionarios!$O$2:$O$176,"Ativo",Funcionarios!$G$2:$G$176,A78,Funcionarios!$M$2:$M$176,$C$6)</f>
        <v/>
      </c>
      <c r="C78" s="73">
        <f>IFERROR(COUNTIFS(Funcionarios!$O$2:$O$176,"Ativo",Funcionarios!$G$2:$G$176,A78,Funcionarios!$M$2:$M$176,$C$6,Funcionarios!$C$2:$C$176,"F")/B78,0)</f>
        <v/>
      </c>
      <c r="D78" s="74">
        <f>IFERROR(AVERAGEIFS(Funcionarios!$I$2:$I$176,Funcionarios!$O$2:$O$176,"Ativo",Funcionarios!$G$2:$G$176,A78,Funcionarios!$M$2:$M$176,$C$6),0)</f>
        <v/>
      </c>
      <c r="E78" s="75">
        <f>IFERROR(AVERAGEIFS(Funcionarios!$P$2:$P$176,Funcionarios!$O$2:$O$176,"Ativo",Funcionarios!$G$2:$G$176,A78,Funcionarios!$M$2:$M$176,$C$6),0)</f>
        <v/>
      </c>
      <c r="F78" s="75">
        <f>IFERROR(AVERAGEIFS(Funcionarios!$N$2:$N$176,Funcionarios!$O$2:$O$176,"Ativo",Funcionarios!$G$2:$G$176,A78,Funcionarios!$M$2:$M$176,$C$6),0)</f>
        <v/>
      </c>
      <c r="G78">
        <f>COUNTIFS(Funcionarios!$G$2:$G$176,A78,Funcionarios!$M$2:$M$176,$C$6,Funcionarios!$J$2:$J$176,"&gt;="&amp;$B$8,Funcionarios!$J$2:$J$176,"&lt;="&amp;$B$9)</f>
        <v/>
      </c>
      <c r="H78">
        <f>COUNTIFS(Funcionarios!$G$2:$G$176,A78,Funcionarios!$M$2:$M$176,$C$6,Funcionarios!$K$2:$K$176,"&gt;="&amp;$B$8,Funcionarios!$K$2:$K$176,"&lt;="&amp;$B$9)</f>
        <v/>
      </c>
    </row>
    <row r="79">
      <c r="A79" t="inlineStr">
        <is>
          <t>RH</t>
        </is>
      </c>
      <c r="B79">
        <f>COUNTIFS(Funcionarios!$O$2:$O$176,"Ativo",Funcionarios!$G$2:$G$176,A79,Funcionarios!$M$2:$M$176,$C$6)</f>
        <v/>
      </c>
      <c r="C79" s="73">
        <f>IFERROR(COUNTIFS(Funcionarios!$O$2:$O$176,"Ativo",Funcionarios!$G$2:$G$176,A79,Funcionarios!$M$2:$M$176,$C$6,Funcionarios!$C$2:$C$176,"F")/B79,0)</f>
        <v/>
      </c>
      <c r="D79" s="74">
        <f>IFERROR(AVERAGEIFS(Funcionarios!$I$2:$I$176,Funcionarios!$O$2:$O$176,"Ativo",Funcionarios!$G$2:$G$176,A79,Funcionarios!$M$2:$M$176,$C$6),0)</f>
        <v/>
      </c>
      <c r="E79" s="75">
        <f>IFERROR(AVERAGEIFS(Funcionarios!$P$2:$P$176,Funcionarios!$O$2:$O$176,"Ativo",Funcionarios!$G$2:$G$176,A79,Funcionarios!$M$2:$M$176,$C$6),0)</f>
        <v/>
      </c>
      <c r="F79" s="75">
        <f>IFERROR(AVERAGEIFS(Funcionarios!$N$2:$N$176,Funcionarios!$O$2:$O$176,"Ativo",Funcionarios!$G$2:$G$176,A79,Funcionarios!$M$2:$M$176,$C$6),0)</f>
        <v/>
      </c>
      <c r="G79">
        <f>COUNTIFS(Funcionarios!$G$2:$G$176,A79,Funcionarios!$M$2:$M$176,$C$6,Funcionarios!$J$2:$J$176,"&gt;="&amp;$B$8,Funcionarios!$J$2:$J$176,"&lt;="&amp;$B$9)</f>
        <v/>
      </c>
      <c r="H79">
        <f>COUNTIFS(Funcionarios!$G$2:$G$176,A79,Funcionarios!$M$2:$M$176,$C$6,Funcionarios!$K$2:$K$176,"&gt;="&amp;$B$8,Funcionarios!$K$2:$K$176,"&lt;="&amp;$B$9)</f>
        <v/>
      </c>
    </row>
    <row r="80">
      <c r="A80" t="inlineStr">
        <is>
          <t>Diretoria</t>
        </is>
      </c>
      <c r="B80">
        <f>COUNTIFS(Funcionarios!$O$2:$O$176,"Ativo",Funcionarios!$G$2:$G$176,A80,Funcionarios!$M$2:$M$176,$C$6)</f>
        <v/>
      </c>
      <c r="C80" s="73">
        <f>IFERROR(COUNTIFS(Funcionarios!$O$2:$O$176,"Ativo",Funcionarios!$G$2:$G$176,A80,Funcionarios!$M$2:$M$176,$C$6,Funcionarios!$C$2:$C$176,"F")/B80,0)</f>
        <v/>
      </c>
      <c r="D80" s="74">
        <f>IFERROR(AVERAGEIFS(Funcionarios!$I$2:$I$176,Funcionarios!$O$2:$O$176,"Ativo",Funcionarios!$G$2:$G$176,A80,Funcionarios!$M$2:$M$176,$C$6),0)</f>
        <v/>
      </c>
      <c r="E80" s="75">
        <f>IFERROR(AVERAGEIFS(Funcionarios!$P$2:$P$176,Funcionarios!$O$2:$O$176,"Ativo",Funcionarios!$G$2:$G$176,A80,Funcionarios!$M$2:$M$176,$C$6),0)</f>
        <v/>
      </c>
      <c r="F80" s="75">
        <f>IFERROR(AVERAGEIFS(Funcionarios!$N$2:$N$176,Funcionarios!$O$2:$O$176,"Ativo",Funcionarios!$G$2:$G$176,A80,Funcionarios!$M$2:$M$176,$C$6),0)</f>
        <v/>
      </c>
      <c r="G80">
        <f>COUNTIFS(Funcionarios!$G$2:$G$176,A80,Funcionarios!$M$2:$M$176,$C$6,Funcionarios!$J$2:$J$176,"&gt;="&amp;$B$8,Funcionarios!$J$2:$J$176,"&lt;="&amp;$B$9)</f>
        <v/>
      </c>
      <c r="H80">
        <f>COUNTIFS(Funcionarios!$G$2:$G$176,A80,Funcionarios!$M$2:$M$176,$C$6,Funcionarios!$K$2:$K$176,"&gt;="&amp;$B$8,Funcionarios!$K$2:$K$176,"&lt;="&amp;$B$9)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7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8" customWidth="1" min="3" max="3"/>
    <col width="11" customWidth="1" min="4" max="4"/>
    <col width="6" customWidth="1" min="5" max="5"/>
    <col width="10" customWidth="1" min="6" max="6"/>
    <col width="13" customWidth="1" min="7" max="7"/>
    <col width="12" customWidth="1" min="8" max="8"/>
    <col width="11" customWidth="1" min="9" max="9"/>
    <col width="11" customWidth="1" min="10" max="10"/>
    <col width="12" customWidth="1" min="11" max="11"/>
    <col width="19" customWidth="1" min="12" max="12"/>
    <col width="14" customWidth="1" min="13" max="13"/>
    <col width="9" customWidth="1" min="14" max="14"/>
    <col width="10" customWidth="1" min="15" max="15"/>
    <col width="12" customWidth="1" min="16" max="16"/>
    <col width="9" customWidth="1" min="17" max="17"/>
  </cols>
  <sheetData>
    <row r="1">
      <c r="A1" s="76" t="inlineStr">
        <is>
          <t>Matrícula</t>
        </is>
      </c>
      <c r="B1" s="76" t="inlineStr">
        <is>
          <t>Nome</t>
        </is>
      </c>
      <c r="C1" s="76" t="inlineStr">
        <is>
          <t>Gênero</t>
        </is>
      </c>
      <c r="D1" s="76" t="inlineStr">
        <is>
          <t>Nascimento</t>
        </is>
      </c>
      <c r="E1" s="76" t="inlineStr">
        <is>
          <t>Idade</t>
        </is>
      </c>
      <c r="F1" s="76" t="inlineStr">
        <is>
          <t>Faixa etária</t>
        </is>
      </c>
      <c r="G1" s="76" t="inlineStr">
        <is>
          <t>Departamento</t>
        </is>
      </c>
      <c r="H1" s="76" t="inlineStr">
        <is>
          <t>Nível</t>
        </is>
      </c>
      <c r="I1" s="76" t="inlineStr">
        <is>
          <t>Salário</t>
        </is>
      </c>
      <c r="J1" s="76" t="inlineStr">
        <is>
          <t>Admissão</t>
        </is>
      </c>
      <c r="K1" s="76" t="inlineStr">
        <is>
          <t>Desligamento</t>
        </is>
      </c>
      <c r="L1" s="76" t="inlineStr">
        <is>
          <t>Motivo</t>
        </is>
      </c>
      <c r="M1" s="76" t="inlineStr">
        <is>
          <t>Unidade</t>
        </is>
      </c>
      <c r="N1" s="76" t="inlineStr">
        <is>
          <t>Avaliação</t>
        </is>
      </c>
      <c r="O1" s="76" t="inlineStr">
        <is>
          <t>Status</t>
        </is>
      </c>
      <c r="P1" s="76" t="inlineStr">
        <is>
          <t>Tempo de casa (anos)</t>
        </is>
      </c>
      <c r="Q1" s="76" t="inlineStr">
        <is>
          <t>Liderança</t>
        </is>
      </c>
    </row>
    <row r="2">
      <c r="A2" s="77" t="inlineStr">
        <is>
          <t>M1001</t>
        </is>
      </c>
      <c r="B2" s="77" t="inlineStr">
        <is>
          <t>Beatriz Costa</t>
        </is>
      </c>
      <c r="C2" s="77" t="inlineStr">
        <is>
          <t>F</t>
        </is>
      </c>
      <c r="D2" s="78" t="n">
        <v>35553</v>
      </c>
      <c r="E2" s="77">
        <f>DATEDIF(D2,IF(K2="",Calc!$B$7,K2),"y")</f>
        <v/>
      </c>
      <c r="F2" s="77">
        <f>LOOKUP(E2,{0,25,35,45,55},{"18-24","25-34","35-44","45-54","55+"})</f>
        <v/>
      </c>
      <c r="G2" s="77" t="inlineStr">
        <is>
          <t>Comercial</t>
        </is>
      </c>
      <c r="H2" s="77" t="inlineStr">
        <is>
          <t>Assistente</t>
        </is>
      </c>
      <c r="I2" s="79" t="n">
        <v>2800</v>
      </c>
      <c r="J2" s="78" t="n">
        <v>45034</v>
      </c>
      <c r="K2" s="78" t="n"/>
      <c r="L2" s="77" t="inlineStr"/>
      <c r="M2" s="77" t="inlineStr">
        <is>
          <t>Recife</t>
        </is>
      </c>
      <c r="N2" s="77" t="n">
        <v>3.2</v>
      </c>
      <c r="O2" s="77">
        <f>IF(K2="","Ativo","Desligado")</f>
        <v/>
      </c>
      <c r="P2" s="77">
        <f>ROUND((IF(K2="",Calc!$B$7,K2)-J2)/365.25,1)</f>
        <v/>
      </c>
      <c r="Q2" s="77">
        <f>IF(OR(H2="Coordenação",H2="Gerência",H2="Diretoria"),"Sim","Não")</f>
        <v/>
      </c>
    </row>
    <row r="3">
      <c r="A3" s="77" t="inlineStr">
        <is>
          <t>M1002</t>
        </is>
      </c>
      <c r="B3" s="77" t="inlineStr">
        <is>
          <t>Vinícius Ribeiro</t>
        </is>
      </c>
      <c r="C3" s="77" t="inlineStr">
        <is>
          <t>M</t>
        </is>
      </c>
      <c r="D3" s="78" t="n">
        <v>34002</v>
      </c>
      <c r="E3" s="77">
        <f>DATEDIF(D3,IF(K3="",Calc!$B$7,K3),"y")</f>
        <v/>
      </c>
      <c r="F3" s="77">
        <f>LOOKUP(E3,{0,25,35,45,55},{"18-24","25-34","35-44","45-54","55+"})</f>
        <v/>
      </c>
      <c r="G3" s="77" t="inlineStr">
        <is>
          <t>Financeiro</t>
        </is>
      </c>
      <c r="H3" s="77" t="inlineStr">
        <is>
          <t>Assistente</t>
        </is>
      </c>
      <c r="I3" s="79" t="n">
        <v>4500</v>
      </c>
      <c r="J3" s="78" t="n">
        <v>43771</v>
      </c>
      <c r="K3" s="78" t="n"/>
      <c r="L3" s="77" t="inlineStr"/>
      <c r="M3" s="77" t="inlineStr">
        <is>
          <t>Recife</t>
        </is>
      </c>
      <c r="N3" s="77" t="n">
        <v>3.8</v>
      </c>
      <c r="O3" s="77">
        <f>IF(K3="","Ativo","Desligado")</f>
        <v/>
      </c>
      <c r="P3" s="77">
        <f>ROUND((IF(K3="",Calc!$B$7,K3)-J3)/365.25,1)</f>
        <v/>
      </c>
      <c r="Q3" s="77">
        <f>IF(OR(H3="Coordenação",H3="Gerência",H3="Diretoria"),"Sim","Não")</f>
        <v/>
      </c>
    </row>
    <row r="4">
      <c r="A4" s="77" t="inlineStr">
        <is>
          <t>M1003</t>
        </is>
      </c>
      <c r="B4" s="77" t="inlineStr">
        <is>
          <t>Henrique Fernandes</t>
        </is>
      </c>
      <c r="C4" s="77" t="inlineStr">
        <is>
          <t>M</t>
        </is>
      </c>
      <c r="D4" s="78" t="n">
        <v>35888</v>
      </c>
      <c r="E4" s="77">
        <f>DATEDIF(D4,IF(K4="",Calc!$B$7,K4),"y")</f>
        <v/>
      </c>
      <c r="F4" s="77">
        <f>LOOKUP(E4,{0,25,35,45,55},{"18-24","25-34","35-44","45-54","55+"})</f>
        <v/>
      </c>
      <c r="G4" s="77" t="inlineStr">
        <is>
          <t>Comercial</t>
        </is>
      </c>
      <c r="H4" s="77" t="inlineStr">
        <is>
          <t>Assistente</t>
        </is>
      </c>
      <c r="I4" s="79" t="n">
        <v>3500</v>
      </c>
      <c r="J4" s="78" t="n">
        <v>43174</v>
      </c>
      <c r="K4" s="78" t="n"/>
      <c r="L4" s="77" t="inlineStr"/>
      <c r="M4" s="77" t="inlineStr">
        <is>
          <t>Recife</t>
        </is>
      </c>
      <c r="N4" s="77" t="n">
        <v>3.7</v>
      </c>
      <c r="O4" s="77">
        <f>IF(K4="","Ativo","Desligado")</f>
        <v/>
      </c>
      <c r="P4" s="77">
        <f>ROUND((IF(K4="",Calc!$B$7,K4)-J4)/365.25,1)</f>
        <v/>
      </c>
      <c r="Q4" s="77">
        <f>IF(OR(H4="Coordenação",H4="Gerência",H4="Diretoria"),"Sim","Não")</f>
        <v/>
      </c>
    </row>
    <row r="5">
      <c r="A5" s="77" t="inlineStr">
        <is>
          <t>M1004</t>
        </is>
      </c>
      <c r="B5" s="77" t="inlineStr">
        <is>
          <t>Daniela Barbosa</t>
        </is>
      </c>
      <c r="C5" s="77" t="inlineStr">
        <is>
          <t>F</t>
        </is>
      </c>
      <c r="D5" s="78" t="n">
        <v>31211</v>
      </c>
      <c r="E5" s="77">
        <f>DATEDIF(D5,IF(K5="",Calc!$B$7,K5),"y")</f>
        <v/>
      </c>
      <c r="F5" s="77">
        <f>LOOKUP(E5,{0,25,35,45,55},{"18-24","25-34","35-44","45-54","55+"})</f>
        <v/>
      </c>
      <c r="G5" s="77" t="inlineStr">
        <is>
          <t>Comercial</t>
        </is>
      </c>
      <c r="H5" s="77" t="inlineStr">
        <is>
          <t>Analista</t>
        </is>
      </c>
      <c r="I5" s="79" t="n">
        <v>4150</v>
      </c>
      <c r="J5" s="78" t="n">
        <v>41026</v>
      </c>
      <c r="K5" s="78" t="n"/>
      <c r="L5" s="77" t="inlineStr"/>
      <c r="M5" s="77" t="inlineStr">
        <is>
          <t>São Paulo</t>
        </is>
      </c>
      <c r="N5" s="77" t="n">
        <v>4.5</v>
      </c>
      <c r="O5" s="77">
        <f>IF(K5="","Ativo","Desligado")</f>
        <v/>
      </c>
      <c r="P5" s="77">
        <f>ROUND((IF(K5="",Calc!$B$7,K5)-J5)/365.25,1)</f>
        <v/>
      </c>
      <c r="Q5" s="77">
        <f>IF(OR(H5="Coordenação",H5="Gerência",H5="Diretoria"),"Sim","Não")</f>
        <v/>
      </c>
    </row>
    <row r="6">
      <c r="A6" s="77" t="inlineStr">
        <is>
          <t>M1005</t>
        </is>
      </c>
      <c r="B6" s="77" t="inlineStr">
        <is>
          <t>Mariana Fernandes</t>
        </is>
      </c>
      <c r="C6" s="77" t="inlineStr">
        <is>
          <t>F</t>
        </is>
      </c>
      <c r="D6" s="78" t="n">
        <v>25799</v>
      </c>
      <c r="E6" s="77">
        <f>DATEDIF(D6,IF(K6="",Calc!$B$7,K6),"y")</f>
        <v/>
      </c>
      <c r="F6" s="77">
        <f>LOOKUP(E6,{0,25,35,45,55},{"18-24","25-34","35-44","45-54","55+"})</f>
        <v/>
      </c>
      <c r="G6" s="77" t="inlineStr">
        <is>
          <t>Comercial</t>
        </is>
      </c>
      <c r="H6" s="77" t="inlineStr">
        <is>
          <t>Assistente</t>
        </is>
      </c>
      <c r="I6" s="79" t="n">
        <v>3600</v>
      </c>
      <c r="J6" s="78" t="n">
        <v>45459</v>
      </c>
      <c r="K6" s="78" t="n"/>
      <c r="L6" s="77" t="inlineStr"/>
      <c r="M6" s="77" t="inlineStr">
        <is>
          <t>São Paulo</t>
        </is>
      </c>
      <c r="N6" s="77" t="n">
        <v>2.7</v>
      </c>
      <c r="O6" s="77">
        <f>IF(K6="","Ativo","Desligado")</f>
        <v/>
      </c>
      <c r="P6" s="77">
        <f>ROUND((IF(K6="",Calc!$B$7,K6)-J6)/365.25,1)</f>
        <v/>
      </c>
      <c r="Q6" s="77">
        <f>IF(OR(H6="Coordenação",H6="Gerência",H6="Diretoria"),"Sim","Não")</f>
        <v/>
      </c>
    </row>
    <row r="7">
      <c r="A7" s="77" t="inlineStr">
        <is>
          <t>M1006</t>
        </is>
      </c>
      <c r="B7" s="77" t="inlineStr">
        <is>
          <t>Carolina Vieira</t>
        </is>
      </c>
      <c r="C7" s="77" t="inlineStr">
        <is>
          <t>F</t>
        </is>
      </c>
      <c r="D7" s="78" t="n">
        <v>36857</v>
      </c>
      <c r="E7" s="77">
        <f>DATEDIF(D7,IF(K7="",Calc!$B$7,K7),"y")</f>
        <v/>
      </c>
      <c r="F7" s="77">
        <f>LOOKUP(E7,{0,25,35,45,55},{"18-24","25-34","35-44","45-54","55+"})</f>
        <v/>
      </c>
      <c r="G7" s="77" t="inlineStr">
        <is>
          <t>Tecnologia</t>
        </is>
      </c>
      <c r="H7" s="77" t="inlineStr">
        <is>
          <t>Coordenação</t>
        </is>
      </c>
      <c r="I7" s="79" t="n">
        <v>15800</v>
      </c>
      <c r="J7" s="78" t="n">
        <v>44738</v>
      </c>
      <c r="K7" s="78" t="n"/>
      <c r="L7" s="77" t="inlineStr"/>
      <c r="M7" s="77" t="inlineStr">
        <is>
          <t>Belo Horizonte</t>
        </is>
      </c>
      <c r="N7" s="77" t="n">
        <v>3.5</v>
      </c>
      <c r="O7" s="77">
        <f>IF(K7="","Ativo","Desligado")</f>
        <v/>
      </c>
      <c r="P7" s="77">
        <f>ROUND((IF(K7="",Calc!$B$7,K7)-J7)/365.25,1)</f>
        <v/>
      </c>
      <c r="Q7" s="77">
        <f>IF(OR(H7="Coordenação",H7="Gerência",H7="Diretoria"),"Sim","Não")</f>
        <v/>
      </c>
    </row>
    <row r="8">
      <c r="A8" s="77" t="inlineStr">
        <is>
          <t>M1007</t>
        </is>
      </c>
      <c r="B8" s="77" t="inlineStr">
        <is>
          <t>Sofia Rodrigues</t>
        </is>
      </c>
      <c r="C8" s="77" t="inlineStr">
        <is>
          <t>F</t>
        </is>
      </c>
      <c r="D8" s="78" t="n">
        <v>29434</v>
      </c>
      <c r="E8" s="77">
        <f>DATEDIF(D8,IF(K8="",Calc!$B$7,K8),"y")</f>
        <v/>
      </c>
      <c r="F8" s="77">
        <f>LOOKUP(E8,{0,25,35,45,55},{"18-24","25-34","35-44","45-54","55+"})</f>
        <v/>
      </c>
      <c r="G8" s="77" t="inlineStr">
        <is>
          <t>Comercial</t>
        </is>
      </c>
      <c r="H8" s="77" t="inlineStr">
        <is>
          <t>Assistente</t>
        </is>
      </c>
      <c r="I8" s="79" t="n">
        <v>3350</v>
      </c>
      <c r="J8" s="78" t="n">
        <v>43993</v>
      </c>
      <c r="K8" s="78" t="n"/>
      <c r="L8" s="77" t="inlineStr"/>
      <c r="M8" s="77" t="inlineStr">
        <is>
          <t>São Paulo</t>
        </is>
      </c>
      <c r="N8" s="77" t="n">
        <v>3.3</v>
      </c>
      <c r="O8" s="77">
        <f>IF(K8="","Ativo","Desligado")</f>
        <v/>
      </c>
      <c r="P8" s="77">
        <f>ROUND((IF(K8="",Calc!$B$7,K8)-J8)/365.25,1)</f>
        <v/>
      </c>
      <c r="Q8" s="77">
        <f>IF(OR(H8="Coordenação",H8="Gerência",H8="Diretoria"),"Sim","Não")</f>
        <v/>
      </c>
    </row>
    <row r="9">
      <c r="A9" s="77" t="inlineStr">
        <is>
          <t>M1008</t>
        </is>
      </c>
      <c r="B9" s="77" t="inlineStr">
        <is>
          <t>Eduardo Ribeiro</t>
        </is>
      </c>
      <c r="C9" s="77" t="inlineStr">
        <is>
          <t>M</t>
        </is>
      </c>
      <c r="D9" s="78" t="n">
        <v>24848</v>
      </c>
      <c r="E9" s="77">
        <f>DATEDIF(D9,IF(K9="",Calc!$B$7,K9),"y")</f>
        <v/>
      </c>
      <c r="F9" s="77">
        <f>LOOKUP(E9,{0,25,35,45,55},{"18-24","25-34","35-44","45-54","55+"})</f>
        <v/>
      </c>
      <c r="G9" s="77" t="inlineStr">
        <is>
          <t>RH</t>
        </is>
      </c>
      <c r="H9" s="77" t="inlineStr">
        <is>
          <t>Especialista</t>
        </is>
      </c>
      <c r="I9" s="79" t="n">
        <v>7050</v>
      </c>
      <c r="J9" s="78" t="n">
        <v>43987</v>
      </c>
      <c r="K9" s="78" t="n">
        <v>45989</v>
      </c>
      <c r="L9" s="77" t="inlineStr">
        <is>
          <t>Dispensa</t>
        </is>
      </c>
      <c r="M9" s="77" t="inlineStr">
        <is>
          <t>Recife</t>
        </is>
      </c>
      <c r="N9" s="77" t="n">
        <v>2.3</v>
      </c>
      <c r="O9" s="77">
        <f>IF(K9="","Ativo","Desligado")</f>
        <v/>
      </c>
      <c r="P9" s="77">
        <f>ROUND((IF(K9="",Calc!$B$7,K9)-J9)/365.25,1)</f>
        <v/>
      </c>
      <c r="Q9" s="77">
        <f>IF(OR(H9="Coordenação",H9="Gerência",H9="Diretoria"),"Sim","Não")</f>
        <v/>
      </c>
    </row>
    <row r="10">
      <c r="A10" s="77" t="inlineStr">
        <is>
          <t>M1009</t>
        </is>
      </c>
      <c r="B10" s="77" t="inlineStr">
        <is>
          <t>Marcelo Vieira</t>
        </is>
      </c>
      <c r="C10" s="77" t="inlineStr">
        <is>
          <t>M</t>
        </is>
      </c>
      <c r="D10" s="78" t="n">
        <v>37481</v>
      </c>
      <c r="E10" s="77">
        <f>DATEDIF(D10,IF(K10="",Calc!$B$7,K10),"y")</f>
        <v/>
      </c>
      <c r="F10" s="77">
        <f>LOOKUP(E10,{0,25,35,45,55},{"18-24","25-34","35-44","45-54","55+"})</f>
        <v/>
      </c>
      <c r="G10" s="77" t="inlineStr">
        <is>
          <t>Financeiro</t>
        </is>
      </c>
      <c r="H10" s="77" t="inlineStr">
        <is>
          <t>Analista</t>
        </is>
      </c>
      <c r="I10" s="79" t="n">
        <v>6350</v>
      </c>
      <c r="J10" s="78" t="n">
        <v>44640</v>
      </c>
      <c r="K10" s="78" t="n"/>
      <c r="L10" s="77" t="inlineStr"/>
      <c r="M10" s="77" t="inlineStr">
        <is>
          <t>Curitiba</t>
        </is>
      </c>
      <c r="N10" s="77" t="n">
        <v>3.5</v>
      </c>
      <c r="O10" s="77">
        <f>IF(K10="","Ativo","Desligado")</f>
        <v/>
      </c>
      <c r="P10" s="77">
        <f>ROUND((IF(K10="",Calc!$B$7,K10)-J10)/365.25,1)</f>
        <v/>
      </c>
      <c r="Q10" s="77">
        <f>IF(OR(H10="Coordenação",H10="Gerência",H10="Diretoria"),"Sim","Não")</f>
        <v/>
      </c>
    </row>
    <row r="11">
      <c r="A11" s="77" t="inlineStr">
        <is>
          <t>M1010</t>
        </is>
      </c>
      <c r="B11" s="77" t="inlineStr">
        <is>
          <t>Beatriz Barbosa</t>
        </is>
      </c>
      <c r="C11" s="77" t="inlineStr">
        <is>
          <t>F</t>
        </is>
      </c>
      <c r="D11" s="78" t="n">
        <v>27782</v>
      </c>
      <c r="E11" s="77">
        <f>DATEDIF(D11,IF(K11="",Calc!$B$7,K11),"y")</f>
        <v/>
      </c>
      <c r="F11" s="77">
        <f>LOOKUP(E11,{0,25,35,45,55},{"18-24","25-34","35-44","45-54","55+"})</f>
        <v/>
      </c>
      <c r="G11" s="77" t="inlineStr">
        <is>
          <t>Financeiro</t>
        </is>
      </c>
      <c r="H11" s="77" t="inlineStr">
        <is>
          <t>Analista</t>
        </is>
      </c>
      <c r="I11" s="79" t="n">
        <v>6050</v>
      </c>
      <c r="J11" s="78" t="n">
        <v>44174</v>
      </c>
      <c r="K11" s="78" t="n">
        <v>45958</v>
      </c>
      <c r="L11" s="77" t="inlineStr">
        <is>
          <t>Pedido de demissão</t>
        </is>
      </c>
      <c r="M11" s="77" t="inlineStr">
        <is>
          <t>São Paulo</t>
        </is>
      </c>
      <c r="N11" s="77" t="n">
        <v>3.6</v>
      </c>
      <c r="O11" s="77">
        <f>IF(K11="","Ativo","Desligado")</f>
        <v/>
      </c>
      <c r="P11" s="77">
        <f>ROUND((IF(K11="",Calc!$B$7,K11)-J11)/365.25,1)</f>
        <v/>
      </c>
      <c r="Q11" s="77">
        <f>IF(OR(H11="Coordenação",H11="Gerência",H11="Diretoria"),"Sim","Não")</f>
        <v/>
      </c>
    </row>
    <row r="12">
      <c r="A12" s="77" t="inlineStr">
        <is>
          <t>M1011</t>
        </is>
      </c>
      <c r="B12" s="77" t="inlineStr">
        <is>
          <t>Thiago Carvalho</t>
        </is>
      </c>
      <c r="C12" s="77" t="inlineStr">
        <is>
          <t>M</t>
        </is>
      </c>
      <c r="D12" s="78" t="n">
        <v>35876</v>
      </c>
      <c r="E12" s="77">
        <f>DATEDIF(D12,IF(K12="",Calc!$B$7,K12),"y")</f>
        <v/>
      </c>
      <c r="F12" s="77">
        <f>LOOKUP(E12,{0,25,35,45,55},{"18-24","25-34","35-44","45-54","55+"})</f>
        <v/>
      </c>
      <c r="G12" s="77" t="inlineStr">
        <is>
          <t>Comercial</t>
        </is>
      </c>
      <c r="H12" s="77" t="inlineStr">
        <is>
          <t>Assistente</t>
        </is>
      </c>
      <c r="I12" s="79" t="n">
        <v>3250</v>
      </c>
      <c r="J12" s="78" t="n">
        <v>41646</v>
      </c>
      <c r="K12" s="78" t="n"/>
      <c r="L12" s="77" t="inlineStr"/>
      <c r="M12" s="77" t="inlineStr">
        <is>
          <t>Recife</t>
        </is>
      </c>
      <c r="N12" s="77" t="n">
        <v>3.9</v>
      </c>
      <c r="O12" s="77">
        <f>IF(K12="","Ativo","Desligado")</f>
        <v/>
      </c>
      <c r="P12" s="77">
        <f>ROUND((IF(K12="",Calc!$B$7,K12)-J12)/365.25,1)</f>
        <v/>
      </c>
      <c r="Q12" s="77">
        <f>IF(OR(H12="Coordenação",H12="Gerência",H12="Diretoria"),"Sim","Não")</f>
        <v/>
      </c>
    </row>
    <row r="13">
      <c r="A13" s="77" t="inlineStr">
        <is>
          <t>M1012</t>
        </is>
      </c>
      <c r="B13" s="77" t="inlineStr">
        <is>
          <t>Patrícia Ribeiro</t>
        </is>
      </c>
      <c r="C13" s="77" t="inlineStr">
        <is>
          <t>F</t>
        </is>
      </c>
      <c r="D13" s="78" t="n">
        <v>34548</v>
      </c>
      <c r="E13" s="77">
        <f>DATEDIF(D13,IF(K13="",Calc!$B$7,K13),"y")</f>
        <v/>
      </c>
      <c r="F13" s="77">
        <f>LOOKUP(E13,{0,25,35,45,55},{"18-24","25-34","35-44","45-54","55+"})</f>
        <v/>
      </c>
      <c r="G13" s="77" t="inlineStr">
        <is>
          <t>Comercial</t>
        </is>
      </c>
      <c r="H13" s="77" t="inlineStr">
        <is>
          <t>Assistente</t>
        </is>
      </c>
      <c r="I13" s="79" t="n">
        <v>2800</v>
      </c>
      <c r="J13" s="78" t="n">
        <v>44775</v>
      </c>
      <c r="K13" s="78" t="n"/>
      <c r="L13" s="77" t="inlineStr"/>
      <c r="M13" s="77" t="inlineStr">
        <is>
          <t>São Paulo</t>
        </is>
      </c>
      <c r="N13" s="77" t="n">
        <v>3.4</v>
      </c>
      <c r="O13" s="77">
        <f>IF(K13="","Ativo","Desligado")</f>
        <v/>
      </c>
      <c r="P13" s="77">
        <f>ROUND((IF(K13="",Calc!$B$7,K13)-J13)/365.25,1)</f>
        <v/>
      </c>
      <c r="Q13" s="77">
        <f>IF(OR(H13="Coordenação",H13="Gerência",H13="Diretoria"),"Sim","Não")</f>
        <v/>
      </c>
    </row>
    <row r="14">
      <c r="A14" s="77" t="inlineStr">
        <is>
          <t>M1013</t>
        </is>
      </c>
      <c r="B14" s="77" t="inlineStr">
        <is>
          <t>Leonardo Pereira</t>
        </is>
      </c>
      <c r="C14" s="77" t="inlineStr">
        <is>
          <t>M</t>
        </is>
      </c>
      <c r="D14" s="78" t="n">
        <v>28526</v>
      </c>
      <c r="E14" s="77">
        <f>DATEDIF(D14,IF(K14="",Calc!$B$7,K14),"y")</f>
        <v/>
      </c>
      <c r="F14" s="77">
        <f>LOOKUP(E14,{0,25,35,45,55},{"18-24","25-34","35-44","45-54","55+"})</f>
        <v/>
      </c>
      <c r="G14" s="77" t="inlineStr">
        <is>
          <t>Comercial</t>
        </is>
      </c>
      <c r="H14" s="77" t="inlineStr">
        <is>
          <t>Gerência</t>
        </is>
      </c>
      <c r="I14" s="79" t="n">
        <v>11250</v>
      </c>
      <c r="J14" s="78" t="n">
        <v>42983</v>
      </c>
      <c r="K14" s="78" t="n"/>
      <c r="L14" s="77" t="inlineStr"/>
      <c r="M14" s="77" t="inlineStr">
        <is>
          <t>São Paulo</t>
        </is>
      </c>
      <c r="N14" s="77" t="n">
        <v>4.5</v>
      </c>
      <c r="O14" s="77">
        <f>IF(K14="","Ativo","Desligado")</f>
        <v/>
      </c>
      <c r="P14" s="77">
        <f>ROUND((IF(K14="",Calc!$B$7,K14)-J14)/365.25,1)</f>
        <v/>
      </c>
      <c r="Q14" s="77">
        <f>IF(OR(H14="Coordenação",H14="Gerência",H14="Diretoria"),"Sim","Não")</f>
        <v/>
      </c>
    </row>
    <row r="15">
      <c r="A15" s="77" t="inlineStr">
        <is>
          <t>M1014</t>
        </is>
      </c>
      <c r="B15" s="77" t="inlineStr">
        <is>
          <t>Thiago Ferreira</t>
        </is>
      </c>
      <c r="C15" s="77" t="inlineStr">
        <is>
          <t>M</t>
        </is>
      </c>
      <c r="D15" s="78" t="n">
        <v>27198</v>
      </c>
      <c r="E15" s="77">
        <f>DATEDIF(D15,IF(K15="",Calc!$B$7,K15),"y")</f>
        <v/>
      </c>
      <c r="F15" s="77">
        <f>LOOKUP(E15,{0,25,35,45,55},{"18-24","25-34","35-44","45-54","55+"})</f>
        <v/>
      </c>
      <c r="G15" s="77" t="inlineStr">
        <is>
          <t>Marketing</t>
        </is>
      </c>
      <c r="H15" s="77" t="inlineStr">
        <is>
          <t>Assistente</t>
        </is>
      </c>
      <c r="I15" s="79" t="n">
        <v>4400</v>
      </c>
      <c r="J15" s="78" t="n">
        <v>41179</v>
      </c>
      <c r="K15" s="78" t="n"/>
      <c r="L15" s="77" t="inlineStr"/>
      <c r="M15" s="77" t="inlineStr">
        <is>
          <t>Recife</t>
        </is>
      </c>
      <c r="N15" s="77" t="n">
        <v>4.1</v>
      </c>
      <c r="O15" s="77">
        <f>IF(K15="","Ativo","Desligado")</f>
        <v/>
      </c>
      <c r="P15" s="77">
        <f>ROUND((IF(K15="",Calc!$B$7,K15)-J15)/365.25,1)</f>
        <v/>
      </c>
      <c r="Q15" s="77">
        <f>IF(OR(H15="Coordenação",H15="Gerência",H15="Diretoria"),"Sim","Não")</f>
        <v/>
      </c>
    </row>
    <row r="16">
      <c r="A16" s="77" t="inlineStr">
        <is>
          <t>M1015</t>
        </is>
      </c>
      <c r="B16" s="77" t="inlineStr">
        <is>
          <t>Tatiane Nunes</t>
        </is>
      </c>
      <c r="C16" s="77" t="inlineStr">
        <is>
          <t>F</t>
        </is>
      </c>
      <c r="D16" s="78" t="n">
        <v>29580</v>
      </c>
      <c r="E16" s="77">
        <f>DATEDIF(D16,IF(K16="",Calc!$B$7,K16),"y")</f>
        <v/>
      </c>
      <c r="F16" s="77">
        <f>LOOKUP(E16,{0,25,35,45,55},{"18-24","25-34","35-44","45-54","55+"})</f>
        <v/>
      </c>
      <c r="G16" s="77" t="inlineStr">
        <is>
          <t>Financeiro</t>
        </is>
      </c>
      <c r="H16" s="77" t="inlineStr">
        <is>
          <t>Analista</t>
        </is>
      </c>
      <c r="I16" s="79" t="n">
        <v>5550</v>
      </c>
      <c r="J16" s="78" t="n">
        <v>41382</v>
      </c>
      <c r="K16" s="78" t="n"/>
      <c r="L16" s="77" t="inlineStr"/>
      <c r="M16" s="77" t="inlineStr">
        <is>
          <t>Curitiba</t>
        </is>
      </c>
      <c r="N16" s="77" t="n">
        <v>3.9</v>
      </c>
      <c r="O16" s="77">
        <f>IF(K16="","Ativo","Desligado")</f>
        <v/>
      </c>
      <c r="P16" s="77">
        <f>ROUND((IF(K16="",Calc!$B$7,K16)-J16)/365.25,1)</f>
        <v/>
      </c>
      <c r="Q16" s="77">
        <f>IF(OR(H16="Coordenação",H16="Gerência",H16="Diretoria"),"Sim","Não")</f>
        <v/>
      </c>
    </row>
    <row r="17">
      <c r="A17" s="77" t="inlineStr">
        <is>
          <t>M1016</t>
        </is>
      </c>
      <c r="B17" s="77" t="inlineStr">
        <is>
          <t>Henrique Vieira</t>
        </is>
      </c>
      <c r="C17" s="77" t="inlineStr">
        <is>
          <t>M</t>
        </is>
      </c>
      <c r="D17" s="78" t="n">
        <v>30043</v>
      </c>
      <c r="E17" s="77">
        <f>DATEDIF(D17,IF(K17="",Calc!$B$7,K17),"y")</f>
        <v/>
      </c>
      <c r="F17" s="77">
        <f>LOOKUP(E17,{0,25,35,45,55},{"18-24","25-34","35-44","45-54","55+"})</f>
        <v/>
      </c>
      <c r="G17" s="77" t="inlineStr">
        <is>
          <t>Financeiro</t>
        </is>
      </c>
      <c r="H17" s="77" t="inlineStr">
        <is>
          <t>Coordenação</t>
        </is>
      </c>
      <c r="I17" s="79" t="n">
        <v>9850</v>
      </c>
      <c r="J17" s="78" t="n">
        <v>41930</v>
      </c>
      <c r="K17" s="78" t="n"/>
      <c r="L17" s="77" t="inlineStr"/>
      <c r="M17" s="77" t="inlineStr">
        <is>
          <t>Curitiba</t>
        </is>
      </c>
      <c r="N17" s="77" t="n">
        <v>3</v>
      </c>
      <c r="O17" s="77">
        <f>IF(K17="","Ativo","Desligado")</f>
        <v/>
      </c>
      <c r="P17" s="77">
        <f>ROUND((IF(K17="",Calc!$B$7,K17)-J17)/365.25,1)</f>
        <v/>
      </c>
      <c r="Q17" s="77">
        <f>IF(OR(H17="Coordenação",H17="Gerência",H17="Diretoria"),"Sim","Não")</f>
        <v/>
      </c>
    </row>
    <row r="18">
      <c r="A18" s="77" t="inlineStr">
        <is>
          <t>M1017</t>
        </is>
      </c>
      <c r="B18" s="77" t="inlineStr">
        <is>
          <t>Camila Martins</t>
        </is>
      </c>
      <c r="C18" s="77" t="inlineStr">
        <is>
          <t>F</t>
        </is>
      </c>
      <c r="D18" s="78" t="n">
        <v>29034</v>
      </c>
      <c r="E18" s="77">
        <f>DATEDIF(D18,IF(K18="",Calc!$B$7,K18),"y")</f>
        <v/>
      </c>
      <c r="F18" s="77">
        <f>LOOKUP(E18,{0,25,35,45,55},{"18-24","25-34","35-44","45-54","55+"})</f>
        <v/>
      </c>
      <c r="G18" s="77" t="inlineStr">
        <is>
          <t>Tecnologia</t>
        </is>
      </c>
      <c r="H18" s="77" t="inlineStr">
        <is>
          <t>Gerência</t>
        </is>
      </c>
      <c r="I18" s="79" t="n">
        <v>22200</v>
      </c>
      <c r="J18" s="78" t="n">
        <v>44452</v>
      </c>
      <c r="K18" s="78" t="n"/>
      <c r="L18" s="77" t="inlineStr"/>
      <c r="M18" s="77" t="inlineStr">
        <is>
          <t>São Paulo</t>
        </is>
      </c>
      <c r="N18" s="77" t="n">
        <v>4</v>
      </c>
      <c r="O18" s="77">
        <f>IF(K18="","Ativo","Desligado")</f>
        <v/>
      </c>
      <c r="P18" s="77">
        <f>ROUND((IF(K18="",Calc!$B$7,K18)-J18)/365.25,1)</f>
        <v/>
      </c>
      <c r="Q18" s="77">
        <f>IF(OR(H18="Coordenação",H18="Gerência",H18="Diretoria"),"Sim","Não")</f>
        <v/>
      </c>
    </row>
    <row r="19">
      <c r="A19" s="77" t="inlineStr">
        <is>
          <t>M1018</t>
        </is>
      </c>
      <c r="B19" s="77" t="inlineStr">
        <is>
          <t>Leonardo Moreira</t>
        </is>
      </c>
      <c r="C19" s="77" t="inlineStr">
        <is>
          <t>M</t>
        </is>
      </c>
      <c r="D19" s="78" t="n">
        <v>37310</v>
      </c>
      <c r="E19" s="77">
        <f>DATEDIF(D19,IF(K19="",Calc!$B$7,K19),"y")</f>
        <v/>
      </c>
      <c r="F19" s="77">
        <f>LOOKUP(E19,{0,25,35,45,55},{"18-24","25-34","35-44","45-54","55+"})</f>
        <v/>
      </c>
      <c r="G19" s="77" t="inlineStr">
        <is>
          <t>Financeiro</t>
        </is>
      </c>
      <c r="H19" s="77" t="inlineStr">
        <is>
          <t>Assistente</t>
        </is>
      </c>
      <c r="I19" s="79" t="n">
        <v>4700</v>
      </c>
      <c r="J19" s="78" t="n">
        <v>43252</v>
      </c>
      <c r="K19" s="78" t="n"/>
      <c r="L19" s="77" t="inlineStr"/>
      <c r="M19" s="77" t="inlineStr">
        <is>
          <t>Belo Horizonte</t>
        </is>
      </c>
      <c r="N19" s="77" t="n">
        <v>3.7</v>
      </c>
      <c r="O19" s="77">
        <f>IF(K19="","Ativo","Desligado")</f>
        <v/>
      </c>
      <c r="P19" s="77">
        <f>ROUND((IF(K19="",Calc!$B$7,K19)-J19)/365.25,1)</f>
        <v/>
      </c>
      <c r="Q19" s="77">
        <f>IF(OR(H19="Coordenação",H19="Gerência",H19="Diretoria"),"Sim","Não")</f>
        <v/>
      </c>
    </row>
    <row r="20">
      <c r="A20" s="77" t="inlineStr">
        <is>
          <t>M1019</t>
        </is>
      </c>
      <c r="B20" s="77" t="inlineStr">
        <is>
          <t>Patrícia Vieira</t>
        </is>
      </c>
      <c r="C20" s="77" t="inlineStr">
        <is>
          <t>F</t>
        </is>
      </c>
      <c r="D20" s="78" t="n">
        <v>31371</v>
      </c>
      <c r="E20" s="77">
        <f>DATEDIF(D20,IF(K20="",Calc!$B$7,K20),"y")</f>
        <v/>
      </c>
      <c r="F20" s="77">
        <f>LOOKUP(E20,{0,25,35,45,55},{"18-24","25-34","35-44","45-54","55+"})</f>
        <v/>
      </c>
      <c r="G20" s="77" t="inlineStr">
        <is>
          <t>Operações</t>
        </is>
      </c>
      <c r="H20" s="77" t="inlineStr">
        <is>
          <t>Analista</t>
        </is>
      </c>
      <c r="I20" s="79" t="n">
        <v>3250</v>
      </c>
      <c r="J20" s="78" t="n">
        <v>41398</v>
      </c>
      <c r="K20" s="78" t="n">
        <v>46199</v>
      </c>
      <c r="L20" s="77" t="inlineStr">
        <is>
          <t>Pedido de demissão</t>
        </is>
      </c>
      <c r="M20" s="77" t="inlineStr">
        <is>
          <t>São Paulo</t>
        </is>
      </c>
      <c r="N20" s="77" t="n">
        <v>3.1</v>
      </c>
      <c r="O20" s="77">
        <f>IF(K20="","Ativo","Desligado")</f>
        <v/>
      </c>
      <c r="P20" s="77">
        <f>ROUND((IF(K20="",Calc!$B$7,K20)-J20)/365.25,1)</f>
        <v/>
      </c>
      <c r="Q20" s="77">
        <f>IF(OR(H20="Coordenação",H20="Gerência",H20="Diretoria"),"Sim","Não")</f>
        <v/>
      </c>
    </row>
    <row r="21">
      <c r="A21" s="77" t="inlineStr">
        <is>
          <t>M1020</t>
        </is>
      </c>
      <c r="B21" s="77" t="inlineStr">
        <is>
          <t>Rafael Barbosa</t>
        </is>
      </c>
      <c r="C21" s="77" t="inlineStr">
        <is>
          <t>M</t>
        </is>
      </c>
      <c r="D21" s="78" t="n">
        <v>28852</v>
      </c>
      <c r="E21" s="77">
        <f>DATEDIF(D21,IF(K21="",Calc!$B$7,K21),"y")</f>
        <v/>
      </c>
      <c r="F21" s="77">
        <f>LOOKUP(E21,{0,25,35,45,55},{"18-24","25-34","35-44","45-54","55+"})</f>
        <v/>
      </c>
      <c r="G21" s="77" t="inlineStr">
        <is>
          <t>Marketing</t>
        </is>
      </c>
      <c r="H21" s="77" t="inlineStr">
        <is>
          <t>Coordenação</t>
        </is>
      </c>
      <c r="I21" s="79" t="n">
        <v>10400</v>
      </c>
      <c r="J21" s="78" t="n">
        <v>43237</v>
      </c>
      <c r="K21" s="78" t="n"/>
      <c r="L21" s="77" t="inlineStr"/>
      <c r="M21" s="77" t="inlineStr">
        <is>
          <t>São Paulo</t>
        </is>
      </c>
      <c r="N21" s="77" t="n">
        <v>3.2</v>
      </c>
      <c r="O21" s="77">
        <f>IF(K21="","Ativo","Desligado")</f>
        <v/>
      </c>
      <c r="P21" s="77">
        <f>ROUND((IF(K21="",Calc!$B$7,K21)-J21)/365.25,1)</f>
        <v/>
      </c>
      <c r="Q21" s="77">
        <f>IF(OR(H21="Coordenação",H21="Gerência",H21="Diretoria"),"Sim","Não")</f>
        <v/>
      </c>
    </row>
    <row r="22">
      <c r="A22" s="77" t="inlineStr">
        <is>
          <t>M1021</t>
        </is>
      </c>
      <c r="B22" s="77" t="inlineStr">
        <is>
          <t>Samuel Vieira</t>
        </is>
      </c>
      <c r="C22" s="77" t="inlineStr">
        <is>
          <t>M</t>
        </is>
      </c>
      <c r="D22" s="78" t="n">
        <v>31123</v>
      </c>
      <c r="E22" s="77">
        <f>DATEDIF(D22,IF(K22="",Calc!$B$7,K22),"y")</f>
        <v/>
      </c>
      <c r="F22" s="77">
        <f>LOOKUP(E22,{0,25,35,45,55},{"18-24","25-34","35-44","45-54","55+"})</f>
        <v/>
      </c>
      <c r="G22" s="77" t="inlineStr">
        <is>
          <t>Financeiro</t>
        </is>
      </c>
      <c r="H22" s="77" t="inlineStr">
        <is>
          <t>Especialista</t>
        </is>
      </c>
      <c r="I22" s="79" t="n">
        <v>7600</v>
      </c>
      <c r="J22" s="78" t="n">
        <v>41634</v>
      </c>
      <c r="K22" s="78" t="n"/>
      <c r="L22" s="77" t="inlineStr"/>
      <c r="M22" s="77" t="inlineStr">
        <is>
          <t>Recife</t>
        </is>
      </c>
      <c r="N22" s="77" t="n">
        <v>3.8</v>
      </c>
      <c r="O22" s="77">
        <f>IF(K22="","Ativo","Desligado")</f>
        <v/>
      </c>
      <c r="P22" s="77">
        <f>ROUND((IF(K22="",Calc!$B$7,K22)-J22)/365.25,1)</f>
        <v/>
      </c>
      <c r="Q22" s="77">
        <f>IF(OR(H22="Coordenação",H22="Gerência",H22="Diretoria"),"Sim","Não")</f>
        <v/>
      </c>
    </row>
    <row r="23">
      <c r="A23" s="77" t="inlineStr">
        <is>
          <t>M1022</t>
        </is>
      </c>
      <c r="B23" s="77" t="inlineStr">
        <is>
          <t>Igor Gomes</t>
        </is>
      </c>
      <c r="C23" s="77" t="inlineStr">
        <is>
          <t>M</t>
        </is>
      </c>
      <c r="D23" s="78" t="n">
        <v>28302</v>
      </c>
      <c r="E23" s="77">
        <f>DATEDIF(D23,IF(K23="",Calc!$B$7,K23),"y")</f>
        <v/>
      </c>
      <c r="F23" s="77">
        <f>LOOKUP(E23,{0,25,35,45,55},{"18-24","25-34","35-44","45-54","55+"})</f>
        <v/>
      </c>
      <c r="G23" s="77" t="inlineStr">
        <is>
          <t>Operações</t>
        </is>
      </c>
      <c r="H23" s="77" t="inlineStr">
        <is>
          <t>Analista</t>
        </is>
      </c>
      <c r="I23" s="79" t="n">
        <v>3400</v>
      </c>
      <c r="J23" s="78" t="n">
        <v>45578</v>
      </c>
      <c r="K23" s="78" t="n"/>
      <c r="L23" s="77" t="inlineStr"/>
      <c r="M23" s="77" t="inlineStr">
        <is>
          <t>São Paulo</t>
        </is>
      </c>
      <c r="N23" s="77" t="n">
        <v>3.8</v>
      </c>
      <c r="O23" s="77">
        <f>IF(K23="","Ativo","Desligado")</f>
        <v/>
      </c>
      <c r="P23" s="77">
        <f>ROUND((IF(K23="",Calc!$B$7,K23)-J23)/365.25,1)</f>
        <v/>
      </c>
      <c r="Q23" s="77">
        <f>IF(OR(H23="Coordenação",H23="Gerência",H23="Diretoria"),"Sim","Não")</f>
        <v/>
      </c>
    </row>
    <row r="24">
      <c r="A24" s="77" t="inlineStr">
        <is>
          <t>M1023</t>
        </is>
      </c>
      <c r="B24" s="77" t="inlineStr">
        <is>
          <t>Leonardo Lopes</t>
        </is>
      </c>
      <c r="C24" s="77" t="inlineStr">
        <is>
          <t>M</t>
        </is>
      </c>
      <c r="D24" s="78" t="n">
        <v>36261</v>
      </c>
      <c r="E24" s="77">
        <f>DATEDIF(D24,IF(K24="",Calc!$B$7,K24),"y")</f>
        <v/>
      </c>
      <c r="F24" s="77">
        <f>LOOKUP(E24,{0,25,35,45,55},{"18-24","25-34","35-44","45-54","55+"})</f>
        <v/>
      </c>
      <c r="G24" s="77" t="inlineStr">
        <is>
          <t>Tecnologia</t>
        </is>
      </c>
      <c r="H24" s="77" t="inlineStr">
        <is>
          <t>Analista</t>
        </is>
      </c>
      <c r="I24" s="79" t="n">
        <v>8250</v>
      </c>
      <c r="J24" s="78" t="n">
        <v>41399</v>
      </c>
      <c r="K24" s="78" t="n">
        <v>45969</v>
      </c>
      <c r="L24" s="77" t="inlineStr">
        <is>
          <t>Pedido de demissão</t>
        </is>
      </c>
      <c r="M24" s="77" t="inlineStr">
        <is>
          <t>Curitiba</t>
        </is>
      </c>
      <c r="N24" s="77" t="n">
        <v>4.3</v>
      </c>
      <c r="O24" s="77">
        <f>IF(K24="","Ativo","Desligado")</f>
        <v/>
      </c>
      <c r="P24" s="77">
        <f>ROUND((IF(K24="",Calc!$B$7,K24)-J24)/365.25,1)</f>
        <v/>
      </c>
      <c r="Q24" s="77">
        <f>IF(OR(H24="Coordenação",H24="Gerência",H24="Diretoria"),"Sim","Não")</f>
        <v/>
      </c>
    </row>
    <row r="25">
      <c r="A25" s="77" t="inlineStr">
        <is>
          <t>M1024</t>
        </is>
      </c>
      <c r="B25" s="77" t="inlineStr">
        <is>
          <t>Gabriela Pereira</t>
        </is>
      </c>
      <c r="C25" s="77" t="inlineStr">
        <is>
          <t>F</t>
        </is>
      </c>
      <c r="D25" s="78" t="n">
        <v>35009</v>
      </c>
      <c r="E25" s="77">
        <f>DATEDIF(D25,IF(K25="",Calc!$B$7,K25),"y")</f>
        <v/>
      </c>
      <c r="F25" s="77">
        <f>LOOKUP(E25,{0,25,35,45,55},{"18-24","25-34","35-44","45-54","55+"})</f>
        <v/>
      </c>
      <c r="G25" s="77" t="inlineStr">
        <is>
          <t>Tecnologia</t>
        </is>
      </c>
      <c r="H25" s="77" t="inlineStr">
        <is>
          <t>Coordenação</t>
        </is>
      </c>
      <c r="I25" s="79" t="n">
        <v>14650</v>
      </c>
      <c r="J25" s="78" t="n">
        <v>45239</v>
      </c>
      <c r="K25" s="78" t="n">
        <v>46111</v>
      </c>
      <c r="L25" s="77" t="inlineStr">
        <is>
          <t>Pedido de demissão</t>
        </is>
      </c>
      <c r="M25" s="77" t="inlineStr">
        <is>
          <t>São Paulo</t>
        </is>
      </c>
      <c r="N25" s="77" t="n">
        <v>5</v>
      </c>
      <c r="O25" s="77">
        <f>IF(K25="","Ativo","Desligado")</f>
        <v/>
      </c>
      <c r="P25" s="77">
        <f>ROUND((IF(K25="",Calc!$B$7,K25)-J25)/365.25,1)</f>
        <v/>
      </c>
      <c r="Q25" s="77">
        <f>IF(OR(H25="Coordenação",H25="Gerência",H25="Diretoria"),"Sim","Não")</f>
        <v/>
      </c>
    </row>
    <row r="26">
      <c r="A26" s="77" t="inlineStr">
        <is>
          <t>M1025</t>
        </is>
      </c>
      <c r="B26" s="77" t="inlineStr">
        <is>
          <t>Carlos Oliveira</t>
        </is>
      </c>
      <c r="C26" s="77" t="inlineStr">
        <is>
          <t>M</t>
        </is>
      </c>
      <c r="D26" s="78" t="n">
        <v>35017</v>
      </c>
      <c r="E26" s="77">
        <f>DATEDIF(D26,IF(K26="",Calc!$B$7,K26),"y")</f>
        <v/>
      </c>
      <c r="F26" s="77">
        <f>LOOKUP(E26,{0,25,35,45,55},{"18-24","25-34","35-44","45-54","55+"})</f>
        <v/>
      </c>
      <c r="G26" s="77" t="inlineStr">
        <is>
          <t>RH</t>
        </is>
      </c>
      <c r="H26" s="77" t="inlineStr">
        <is>
          <t>Especialista</t>
        </is>
      </c>
      <c r="I26" s="79" t="n">
        <v>8000</v>
      </c>
      <c r="J26" s="78" t="n">
        <v>42716</v>
      </c>
      <c r="K26" s="78" t="n"/>
      <c r="L26" s="77" t="inlineStr"/>
      <c r="M26" s="77" t="inlineStr">
        <is>
          <t>São Paulo</t>
        </is>
      </c>
      <c r="N26" s="77" t="n">
        <v>3.4</v>
      </c>
      <c r="O26" s="77">
        <f>IF(K26="","Ativo","Desligado")</f>
        <v/>
      </c>
      <c r="P26" s="77">
        <f>ROUND((IF(K26="",Calc!$B$7,K26)-J26)/365.25,1)</f>
        <v/>
      </c>
      <c r="Q26" s="77">
        <f>IF(OR(H26="Coordenação",H26="Gerência",H26="Diretoria"),"Sim","Não")</f>
        <v/>
      </c>
    </row>
    <row r="27">
      <c r="A27" s="77" t="inlineStr">
        <is>
          <t>M1026</t>
        </is>
      </c>
      <c r="B27" s="77" t="inlineStr">
        <is>
          <t>Felipe Lopes</t>
        </is>
      </c>
      <c r="C27" s="77" t="inlineStr">
        <is>
          <t>M</t>
        </is>
      </c>
      <c r="D27" s="78" t="n">
        <v>33073</v>
      </c>
      <c r="E27" s="77">
        <f>DATEDIF(D27,IF(K27="",Calc!$B$7,K27),"y")</f>
        <v/>
      </c>
      <c r="F27" s="77">
        <f>LOOKUP(E27,{0,25,35,45,55},{"18-24","25-34","35-44","45-54","55+"})</f>
        <v/>
      </c>
      <c r="G27" s="77" t="inlineStr">
        <is>
          <t>Financeiro</t>
        </is>
      </c>
      <c r="H27" s="77" t="inlineStr">
        <is>
          <t>Especialista</t>
        </is>
      </c>
      <c r="I27" s="79" t="n">
        <v>8200</v>
      </c>
      <c r="J27" s="78" t="n">
        <v>41311</v>
      </c>
      <c r="K27" s="78" t="n"/>
      <c r="L27" s="77" t="inlineStr"/>
      <c r="M27" s="77" t="inlineStr">
        <is>
          <t>São Paulo</t>
        </is>
      </c>
      <c r="N27" s="77" t="n">
        <v>3.5</v>
      </c>
      <c r="O27" s="77">
        <f>IF(K27="","Ativo","Desligado")</f>
        <v/>
      </c>
      <c r="P27" s="77">
        <f>ROUND((IF(K27="",Calc!$B$7,K27)-J27)/365.25,1)</f>
        <v/>
      </c>
      <c r="Q27" s="77">
        <f>IF(OR(H27="Coordenação",H27="Gerência",H27="Diretoria"),"Sim","Não")</f>
        <v/>
      </c>
    </row>
    <row r="28">
      <c r="A28" s="77" t="inlineStr">
        <is>
          <t>M1027</t>
        </is>
      </c>
      <c r="B28" s="77" t="inlineStr">
        <is>
          <t>Natália Alves</t>
        </is>
      </c>
      <c r="C28" s="77" t="inlineStr">
        <is>
          <t>F</t>
        </is>
      </c>
      <c r="D28" s="78" t="n">
        <v>29544</v>
      </c>
      <c r="E28" s="77">
        <f>DATEDIF(D28,IF(K28="",Calc!$B$7,K28),"y")</f>
        <v/>
      </c>
      <c r="F28" s="77">
        <f>LOOKUP(E28,{0,25,35,45,55},{"18-24","25-34","35-44","45-54","55+"})</f>
        <v/>
      </c>
      <c r="G28" s="77" t="inlineStr">
        <is>
          <t>Tecnologia</t>
        </is>
      </c>
      <c r="H28" s="77" t="inlineStr">
        <is>
          <t>Assistente</t>
        </is>
      </c>
      <c r="I28" s="79" t="n">
        <v>6600</v>
      </c>
      <c r="J28" s="78" t="n">
        <v>45503</v>
      </c>
      <c r="K28" s="78" t="n"/>
      <c r="L28" s="77" t="inlineStr"/>
      <c r="M28" s="77" t="inlineStr">
        <is>
          <t>São Paulo</t>
        </is>
      </c>
      <c r="N28" s="77" t="n">
        <v>4.6</v>
      </c>
      <c r="O28" s="77">
        <f>IF(K28="","Ativo","Desligado")</f>
        <v/>
      </c>
      <c r="P28" s="77">
        <f>ROUND((IF(K28="",Calc!$B$7,K28)-J28)/365.25,1)</f>
        <v/>
      </c>
      <c r="Q28" s="77">
        <f>IF(OR(H28="Coordenação",H28="Gerência",H28="Diretoria"),"Sim","Não")</f>
        <v/>
      </c>
    </row>
    <row r="29">
      <c r="A29" s="77" t="inlineStr">
        <is>
          <t>M1028</t>
        </is>
      </c>
      <c r="B29" s="77" t="inlineStr">
        <is>
          <t>Bruno Almeida</t>
        </is>
      </c>
      <c r="C29" s="77" t="inlineStr">
        <is>
          <t>M</t>
        </is>
      </c>
      <c r="D29" s="78" t="n">
        <v>35659</v>
      </c>
      <c r="E29" s="77">
        <f>DATEDIF(D29,IF(K29="",Calc!$B$7,K29),"y")</f>
        <v/>
      </c>
      <c r="F29" s="77">
        <f>LOOKUP(E29,{0,25,35,45,55},{"18-24","25-34","35-44","45-54","55+"})</f>
        <v/>
      </c>
      <c r="G29" s="77" t="inlineStr">
        <is>
          <t>Comercial</t>
        </is>
      </c>
      <c r="H29" s="77" t="inlineStr">
        <is>
          <t>Assistente</t>
        </is>
      </c>
      <c r="I29" s="79" t="n">
        <v>3050</v>
      </c>
      <c r="J29" s="78" t="n">
        <v>45262</v>
      </c>
      <c r="K29" s="78" t="n">
        <v>45658</v>
      </c>
      <c r="L29" s="77" t="inlineStr">
        <is>
          <t>Dispensa</t>
        </is>
      </c>
      <c r="M29" s="77" t="inlineStr">
        <is>
          <t>Curitiba</t>
        </is>
      </c>
      <c r="N29" s="77" t="n">
        <v>4.4</v>
      </c>
      <c r="O29" s="77">
        <f>IF(K29="","Ativo","Desligado")</f>
        <v/>
      </c>
      <c r="P29" s="77">
        <f>ROUND((IF(K29="",Calc!$B$7,K29)-J29)/365.25,1)</f>
        <v/>
      </c>
      <c r="Q29" s="77">
        <f>IF(OR(H29="Coordenação",H29="Gerência",H29="Diretoria"),"Sim","Não")</f>
        <v/>
      </c>
    </row>
    <row r="30">
      <c r="A30" s="77" t="inlineStr">
        <is>
          <t>M1029</t>
        </is>
      </c>
      <c r="B30" s="77" t="inlineStr">
        <is>
          <t>Larissa Pereira</t>
        </is>
      </c>
      <c r="C30" s="77" t="inlineStr">
        <is>
          <t>F</t>
        </is>
      </c>
      <c r="D30" s="78" t="n">
        <v>34044</v>
      </c>
      <c r="E30" s="77">
        <f>DATEDIF(D30,IF(K30="",Calc!$B$7,K30),"y")</f>
        <v/>
      </c>
      <c r="F30" s="77">
        <f>LOOKUP(E30,{0,25,35,45,55},{"18-24","25-34","35-44","45-54","55+"})</f>
        <v/>
      </c>
      <c r="G30" s="77" t="inlineStr">
        <is>
          <t>Operações</t>
        </is>
      </c>
      <c r="H30" s="77" t="inlineStr">
        <is>
          <t>Analista</t>
        </is>
      </c>
      <c r="I30" s="79" t="n">
        <v>3300</v>
      </c>
      <c r="J30" s="78" t="n">
        <v>42435</v>
      </c>
      <c r="K30" s="78" t="n"/>
      <c r="L30" s="77" t="inlineStr"/>
      <c r="M30" s="77" t="inlineStr">
        <is>
          <t>Belo Horizonte</t>
        </is>
      </c>
      <c r="N30" s="77" t="n">
        <v>5</v>
      </c>
      <c r="O30" s="77">
        <f>IF(K30="","Ativo","Desligado")</f>
        <v/>
      </c>
      <c r="P30" s="77">
        <f>ROUND((IF(K30="",Calc!$B$7,K30)-J30)/365.25,1)</f>
        <v/>
      </c>
      <c r="Q30" s="77">
        <f>IF(OR(H30="Coordenação",H30="Gerência",H30="Diretoria"),"Sim","Não")</f>
        <v/>
      </c>
    </row>
    <row r="31">
      <c r="A31" s="77" t="inlineStr">
        <is>
          <t>M1030</t>
        </is>
      </c>
      <c r="B31" s="77" t="inlineStr">
        <is>
          <t>Henrique Silva</t>
        </is>
      </c>
      <c r="C31" s="77" t="inlineStr">
        <is>
          <t>M</t>
        </is>
      </c>
      <c r="D31" s="78" t="n">
        <v>30970</v>
      </c>
      <c r="E31" s="77">
        <f>DATEDIF(D31,IF(K31="",Calc!$B$7,K31),"y")</f>
        <v/>
      </c>
      <c r="F31" s="77">
        <f>LOOKUP(E31,{0,25,35,45,55},{"18-24","25-34","35-44","45-54","55+"})</f>
        <v/>
      </c>
      <c r="G31" s="77" t="inlineStr">
        <is>
          <t>Operações</t>
        </is>
      </c>
      <c r="H31" s="77" t="inlineStr">
        <is>
          <t>Assistente</t>
        </is>
      </c>
      <c r="I31" s="79" t="n">
        <v>2250</v>
      </c>
      <c r="J31" s="78" t="n">
        <v>42962</v>
      </c>
      <c r="K31" s="78" t="n">
        <v>46246</v>
      </c>
      <c r="L31" s="77" t="inlineStr">
        <is>
          <t>Pedido de demissão</t>
        </is>
      </c>
      <c r="M31" s="77" t="inlineStr">
        <is>
          <t>São Paulo</t>
        </is>
      </c>
      <c r="N31" s="77" t="n">
        <v>4.3</v>
      </c>
      <c r="O31" s="77">
        <f>IF(K31="","Ativo","Desligado")</f>
        <v/>
      </c>
      <c r="P31" s="77">
        <f>ROUND((IF(K31="",Calc!$B$7,K31)-J31)/365.25,1)</f>
        <v/>
      </c>
      <c r="Q31" s="77">
        <f>IF(OR(H31="Coordenação",H31="Gerência",H31="Diretoria"),"Sim","Não")</f>
        <v/>
      </c>
    </row>
    <row r="32">
      <c r="A32" s="77" t="inlineStr">
        <is>
          <t>M1031</t>
        </is>
      </c>
      <c r="B32" s="77" t="inlineStr">
        <is>
          <t>Gabriela Moreira</t>
        </is>
      </c>
      <c r="C32" s="77" t="inlineStr">
        <is>
          <t>F</t>
        </is>
      </c>
      <c r="D32" s="78" t="n">
        <v>30019</v>
      </c>
      <c r="E32" s="77">
        <f>DATEDIF(D32,IF(K32="",Calc!$B$7,K32),"y")</f>
        <v/>
      </c>
      <c r="F32" s="77">
        <f>LOOKUP(E32,{0,25,35,45,55},{"18-24","25-34","35-44","45-54","55+"})</f>
        <v/>
      </c>
      <c r="G32" s="77" t="inlineStr">
        <is>
          <t>Operações</t>
        </is>
      </c>
      <c r="H32" s="77" t="inlineStr">
        <is>
          <t>Assistente</t>
        </is>
      </c>
      <c r="I32" s="79" t="n">
        <v>2550</v>
      </c>
      <c r="J32" s="78" t="n">
        <v>41239</v>
      </c>
      <c r="K32" s="78" t="n"/>
      <c r="L32" s="77" t="inlineStr"/>
      <c r="M32" s="77" t="inlineStr">
        <is>
          <t>São Paulo</t>
        </is>
      </c>
      <c r="N32" s="77" t="n">
        <v>3.4</v>
      </c>
      <c r="O32" s="77">
        <f>IF(K32="","Ativo","Desligado")</f>
        <v/>
      </c>
      <c r="P32" s="77">
        <f>ROUND((IF(K32="",Calc!$B$7,K32)-J32)/365.25,1)</f>
        <v/>
      </c>
      <c r="Q32" s="77">
        <f>IF(OR(H32="Coordenação",H32="Gerência",H32="Diretoria"),"Sim","Não")</f>
        <v/>
      </c>
    </row>
    <row r="33">
      <c r="A33" s="77" t="inlineStr">
        <is>
          <t>M1032</t>
        </is>
      </c>
      <c r="B33" s="77" t="inlineStr">
        <is>
          <t>Patrícia Nunes</t>
        </is>
      </c>
      <c r="C33" s="77" t="inlineStr">
        <is>
          <t>F</t>
        </is>
      </c>
      <c r="D33" s="78" t="n">
        <v>27293</v>
      </c>
      <c r="E33" s="77">
        <f>DATEDIF(D33,IF(K33="",Calc!$B$7,K33),"y")</f>
        <v/>
      </c>
      <c r="F33" s="77">
        <f>LOOKUP(E33,{0,25,35,45,55},{"18-24","25-34","35-44","45-54","55+"})</f>
        <v/>
      </c>
      <c r="G33" s="77" t="inlineStr">
        <is>
          <t>Marketing</t>
        </is>
      </c>
      <c r="H33" s="77" t="inlineStr">
        <is>
          <t>Assistente</t>
        </is>
      </c>
      <c r="I33" s="79" t="n">
        <v>4000</v>
      </c>
      <c r="J33" s="78" t="n">
        <v>45590</v>
      </c>
      <c r="K33" s="78" t="n"/>
      <c r="L33" s="77" t="inlineStr"/>
      <c r="M33" s="77" t="inlineStr">
        <is>
          <t>São Paulo</t>
        </is>
      </c>
      <c r="N33" s="77" t="n">
        <v>3.9</v>
      </c>
      <c r="O33" s="77">
        <f>IF(K33="","Ativo","Desligado")</f>
        <v/>
      </c>
      <c r="P33" s="77">
        <f>ROUND((IF(K33="",Calc!$B$7,K33)-J33)/365.25,1)</f>
        <v/>
      </c>
      <c r="Q33" s="77">
        <f>IF(OR(H33="Coordenação",H33="Gerência",H33="Diretoria"),"Sim","Não")</f>
        <v/>
      </c>
    </row>
    <row r="34">
      <c r="A34" s="77" t="inlineStr">
        <is>
          <t>M1033</t>
        </is>
      </c>
      <c r="B34" s="77" t="inlineStr">
        <is>
          <t>João Souza</t>
        </is>
      </c>
      <c r="C34" s="77" t="inlineStr">
        <is>
          <t>M</t>
        </is>
      </c>
      <c r="D34" s="78" t="n">
        <v>24209</v>
      </c>
      <c r="E34" s="77">
        <f>DATEDIF(D34,IF(K34="",Calc!$B$7,K34),"y")</f>
        <v/>
      </c>
      <c r="F34" s="77">
        <f>LOOKUP(E34,{0,25,35,45,55},{"18-24","25-34","35-44","45-54","55+"})</f>
        <v/>
      </c>
      <c r="G34" s="77" t="inlineStr">
        <is>
          <t>Financeiro</t>
        </is>
      </c>
      <c r="H34" s="77" t="inlineStr">
        <is>
          <t>Analista</t>
        </is>
      </c>
      <c r="I34" s="79" t="n">
        <v>5300</v>
      </c>
      <c r="J34" s="78" t="n">
        <v>42387</v>
      </c>
      <c r="K34" s="78" t="n"/>
      <c r="L34" s="77" t="inlineStr"/>
      <c r="M34" s="77" t="inlineStr">
        <is>
          <t>Curitiba</t>
        </is>
      </c>
      <c r="N34" s="77" t="n">
        <v>3.3</v>
      </c>
      <c r="O34" s="77">
        <f>IF(K34="","Ativo","Desligado")</f>
        <v/>
      </c>
      <c r="P34" s="77">
        <f>ROUND((IF(K34="",Calc!$B$7,K34)-J34)/365.25,1)</f>
        <v/>
      </c>
      <c r="Q34" s="77">
        <f>IF(OR(H34="Coordenação",H34="Gerência",H34="Diretoria"),"Sim","Não")</f>
        <v/>
      </c>
    </row>
    <row r="35">
      <c r="A35" s="77" t="inlineStr">
        <is>
          <t>M1034</t>
        </is>
      </c>
      <c r="B35" s="77" t="inlineStr">
        <is>
          <t>Felipe Nunes</t>
        </is>
      </c>
      <c r="C35" s="77" t="inlineStr">
        <is>
          <t>M</t>
        </is>
      </c>
      <c r="D35" s="78" t="n">
        <v>28267</v>
      </c>
      <c r="E35" s="77">
        <f>DATEDIF(D35,IF(K35="",Calc!$B$7,K35),"y")</f>
        <v/>
      </c>
      <c r="F35" s="77">
        <f>LOOKUP(E35,{0,25,35,45,55},{"18-24","25-34","35-44","45-54","55+"})</f>
        <v/>
      </c>
      <c r="G35" s="77" t="inlineStr">
        <is>
          <t>Operações</t>
        </is>
      </c>
      <c r="H35" s="77" t="inlineStr">
        <is>
          <t>Analista</t>
        </is>
      </c>
      <c r="I35" s="79" t="n">
        <v>3400</v>
      </c>
      <c r="J35" s="78" t="n">
        <v>41511</v>
      </c>
      <c r="K35" s="78" t="n">
        <v>45677</v>
      </c>
      <c r="L35" s="77" t="inlineStr">
        <is>
          <t>Dispensa</t>
        </is>
      </c>
      <c r="M35" s="77" t="inlineStr">
        <is>
          <t>Recife</t>
        </is>
      </c>
      <c r="N35" s="77" t="n">
        <v>3.2</v>
      </c>
      <c r="O35" s="77">
        <f>IF(K35="","Ativo","Desligado")</f>
        <v/>
      </c>
      <c r="P35" s="77">
        <f>ROUND((IF(K35="",Calc!$B$7,K35)-J35)/365.25,1)</f>
        <v/>
      </c>
      <c r="Q35" s="77">
        <f>IF(OR(H35="Coordenação",H35="Gerência",H35="Diretoria"),"Sim","Não")</f>
        <v/>
      </c>
    </row>
    <row r="36">
      <c r="A36" s="77" t="inlineStr">
        <is>
          <t>M1035</t>
        </is>
      </c>
      <c r="B36" s="77" t="inlineStr">
        <is>
          <t>Gabriela Nunes</t>
        </is>
      </c>
      <c r="C36" s="77" t="inlineStr">
        <is>
          <t>F</t>
        </is>
      </c>
      <c r="D36" s="78" t="n">
        <v>37327</v>
      </c>
      <c r="E36" s="77">
        <f>DATEDIF(D36,IF(K36="",Calc!$B$7,K36),"y")</f>
        <v/>
      </c>
      <c r="F36" s="77">
        <f>LOOKUP(E36,{0,25,35,45,55},{"18-24","25-34","35-44","45-54","55+"})</f>
        <v/>
      </c>
      <c r="G36" s="77" t="inlineStr">
        <is>
          <t>Operações</t>
        </is>
      </c>
      <c r="H36" s="77" t="inlineStr">
        <is>
          <t>Analista</t>
        </is>
      </c>
      <c r="I36" s="79" t="n">
        <v>3550</v>
      </c>
      <c r="J36" s="78" t="n">
        <v>43832</v>
      </c>
      <c r="K36" s="78" t="n"/>
      <c r="L36" s="77" t="inlineStr"/>
      <c r="M36" s="77" t="inlineStr">
        <is>
          <t>Curitiba</t>
        </is>
      </c>
      <c r="N36" s="77" t="n">
        <v>4</v>
      </c>
      <c r="O36" s="77">
        <f>IF(K36="","Ativo","Desligado")</f>
        <v/>
      </c>
      <c r="P36" s="77">
        <f>ROUND((IF(K36="",Calc!$B$7,K36)-J36)/365.25,1)</f>
        <v/>
      </c>
      <c r="Q36" s="77">
        <f>IF(OR(H36="Coordenação",H36="Gerência",H36="Diretoria"),"Sim","Não")</f>
        <v/>
      </c>
    </row>
    <row r="37">
      <c r="A37" s="77" t="inlineStr">
        <is>
          <t>M1036</t>
        </is>
      </c>
      <c r="B37" s="77" t="inlineStr">
        <is>
          <t>Fernanda Nunes</t>
        </is>
      </c>
      <c r="C37" s="77" t="inlineStr">
        <is>
          <t>F</t>
        </is>
      </c>
      <c r="D37" s="78" t="n">
        <v>35727</v>
      </c>
      <c r="E37" s="77">
        <f>DATEDIF(D37,IF(K37="",Calc!$B$7,K37),"y")</f>
        <v/>
      </c>
      <c r="F37" s="77">
        <f>LOOKUP(E37,{0,25,35,45,55},{"18-24","25-34","35-44","45-54","55+"})</f>
        <v/>
      </c>
      <c r="G37" s="77" t="inlineStr">
        <is>
          <t>Comercial</t>
        </is>
      </c>
      <c r="H37" s="77" t="inlineStr">
        <is>
          <t>Analista</t>
        </is>
      </c>
      <c r="I37" s="79" t="n">
        <v>4450</v>
      </c>
      <c r="J37" s="78" t="n">
        <v>41619</v>
      </c>
      <c r="K37" s="78" t="n"/>
      <c r="L37" s="77" t="inlineStr"/>
      <c r="M37" s="77" t="inlineStr">
        <is>
          <t>São Paulo</t>
        </is>
      </c>
      <c r="N37" s="77" t="n">
        <v>3.7</v>
      </c>
      <c r="O37" s="77">
        <f>IF(K37="","Ativo","Desligado")</f>
        <v/>
      </c>
      <c r="P37" s="77">
        <f>ROUND((IF(K37="",Calc!$B$7,K37)-J37)/365.25,1)</f>
        <v/>
      </c>
      <c r="Q37" s="77">
        <f>IF(OR(H37="Coordenação",H37="Gerência",H37="Diretoria"),"Sim","Não")</f>
        <v/>
      </c>
    </row>
    <row r="38">
      <c r="A38" s="77" t="inlineStr">
        <is>
          <t>M1037</t>
        </is>
      </c>
      <c r="B38" s="77" t="inlineStr">
        <is>
          <t>Mariana Rodrigues</t>
        </is>
      </c>
      <c r="C38" s="77" t="inlineStr">
        <is>
          <t>F</t>
        </is>
      </c>
      <c r="D38" s="78" t="n">
        <v>32260</v>
      </c>
      <c r="E38" s="77">
        <f>DATEDIF(D38,IF(K38="",Calc!$B$7,K38),"y")</f>
        <v/>
      </c>
      <c r="F38" s="77">
        <f>LOOKUP(E38,{0,25,35,45,55},{"18-24","25-34","35-44","45-54","55+"})</f>
        <v/>
      </c>
      <c r="G38" s="77" t="inlineStr">
        <is>
          <t>Comercial</t>
        </is>
      </c>
      <c r="H38" s="77" t="inlineStr">
        <is>
          <t>Analista</t>
        </is>
      </c>
      <c r="I38" s="79" t="n">
        <v>4650</v>
      </c>
      <c r="J38" s="78" t="n">
        <v>42805</v>
      </c>
      <c r="K38" s="78" t="n"/>
      <c r="L38" s="77" t="inlineStr"/>
      <c r="M38" s="77" t="inlineStr">
        <is>
          <t>Curitiba</t>
        </is>
      </c>
      <c r="N38" s="77" t="n">
        <v>4.2</v>
      </c>
      <c r="O38" s="77">
        <f>IF(K38="","Ativo","Desligado")</f>
        <v/>
      </c>
      <c r="P38" s="77">
        <f>ROUND((IF(K38="",Calc!$B$7,K38)-J38)/365.25,1)</f>
        <v/>
      </c>
      <c r="Q38" s="77">
        <f>IF(OR(H38="Coordenação",H38="Gerência",H38="Diretoria"),"Sim","Não")</f>
        <v/>
      </c>
    </row>
    <row r="39">
      <c r="A39" s="77" t="inlineStr">
        <is>
          <t>M1038</t>
        </is>
      </c>
      <c r="B39" s="77" t="inlineStr">
        <is>
          <t>Gabriela Almeida</t>
        </is>
      </c>
      <c r="C39" s="77" t="inlineStr">
        <is>
          <t>F</t>
        </is>
      </c>
      <c r="D39" s="78" t="n">
        <v>27933</v>
      </c>
      <c r="E39" s="77">
        <f>DATEDIF(D39,IF(K39="",Calc!$B$7,K39),"y")</f>
        <v/>
      </c>
      <c r="F39" s="77">
        <f>LOOKUP(E39,{0,25,35,45,55},{"18-24","25-34","35-44","45-54","55+"})</f>
        <v/>
      </c>
      <c r="G39" s="77" t="inlineStr">
        <is>
          <t>Comercial</t>
        </is>
      </c>
      <c r="H39" s="77" t="inlineStr">
        <is>
          <t>Analista</t>
        </is>
      </c>
      <c r="I39" s="79" t="n">
        <v>4050</v>
      </c>
      <c r="J39" s="78" t="n">
        <v>42386</v>
      </c>
      <c r="K39" s="78" t="n"/>
      <c r="L39" s="77" t="inlineStr"/>
      <c r="M39" s="77" t="inlineStr">
        <is>
          <t>São Paulo</t>
        </is>
      </c>
      <c r="N39" s="77" t="n">
        <v>3.2</v>
      </c>
      <c r="O39" s="77">
        <f>IF(K39="","Ativo","Desligado")</f>
        <v/>
      </c>
      <c r="P39" s="77">
        <f>ROUND((IF(K39="",Calc!$B$7,K39)-J39)/365.25,1)</f>
        <v/>
      </c>
      <c r="Q39" s="77">
        <f>IF(OR(H39="Coordenação",H39="Gerência",H39="Diretoria"),"Sim","Não")</f>
        <v/>
      </c>
    </row>
    <row r="40">
      <c r="A40" s="77" t="inlineStr">
        <is>
          <t>M1039</t>
        </is>
      </c>
      <c r="B40" s="77" t="inlineStr">
        <is>
          <t>Leonardo Costa</t>
        </is>
      </c>
      <c r="C40" s="77" t="inlineStr">
        <is>
          <t>M</t>
        </is>
      </c>
      <c r="D40" s="78" t="n">
        <v>32621</v>
      </c>
      <c r="E40" s="77">
        <f>DATEDIF(D40,IF(K40="",Calc!$B$7,K40),"y")</f>
        <v/>
      </c>
      <c r="F40" s="77">
        <f>LOOKUP(E40,{0,25,35,45,55},{"18-24","25-34","35-44","45-54","55+"})</f>
        <v/>
      </c>
      <c r="G40" s="77" t="inlineStr">
        <is>
          <t>Marketing</t>
        </is>
      </c>
      <c r="H40" s="77" t="inlineStr">
        <is>
          <t>Assistente</t>
        </is>
      </c>
      <c r="I40" s="79" t="n">
        <v>4250</v>
      </c>
      <c r="J40" s="78" t="n">
        <v>41463</v>
      </c>
      <c r="K40" s="78" t="n"/>
      <c r="L40" s="77" t="inlineStr"/>
      <c r="M40" s="77" t="inlineStr">
        <is>
          <t>Curitiba</t>
        </is>
      </c>
      <c r="N40" s="77" t="n">
        <v>3.7</v>
      </c>
      <c r="O40" s="77">
        <f>IF(K40="","Ativo","Desligado")</f>
        <v/>
      </c>
      <c r="P40" s="77">
        <f>ROUND((IF(K40="",Calc!$B$7,K40)-J40)/365.25,1)</f>
        <v/>
      </c>
      <c r="Q40" s="77">
        <f>IF(OR(H40="Coordenação",H40="Gerência",H40="Diretoria"),"Sim","Não")</f>
        <v/>
      </c>
    </row>
    <row r="41">
      <c r="A41" s="77" t="inlineStr">
        <is>
          <t>M1040</t>
        </is>
      </c>
      <c r="B41" s="77" t="inlineStr">
        <is>
          <t>Carlos Carvalho</t>
        </is>
      </c>
      <c r="C41" s="77" t="inlineStr">
        <is>
          <t>M</t>
        </is>
      </c>
      <c r="D41" s="78" t="n">
        <v>29074</v>
      </c>
      <c r="E41" s="77">
        <f>DATEDIF(D41,IF(K41="",Calc!$B$7,K41),"y")</f>
        <v/>
      </c>
      <c r="F41" s="77">
        <f>LOOKUP(E41,{0,25,35,45,55},{"18-24","25-34","35-44","45-54","55+"})</f>
        <v/>
      </c>
      <c r="G41" s="77" t="inlineStr">
        <is>
          <t>Comercial</t>
        </is>
      </c>
      <c r="H41" s="77" t="inlineStr">
        <is>
          <t>Analista</t>
        </is>
      </c>
      <c r="I41" s="79" t="n">
        <v>4550</v>
      </c>
      <c r="J41" s="78" t="n">
        <v>43435</v>
      </c>
      <c r="K41" s="78" t="n"/>
      <c r="L41" s="77" t="inlineStr"/>
      <c r="M41" s="77" t="inlineStr">
        <is>
          <t>Recife</t>
        </is>
      </c>
      <c r="N41" s="77" t="n">
        <v>3.8</v>
      </c>
      <c r="O41" s="77">
        <f>IF(K41="","Ativo","Desligado")</f>
        <v/>
      </c>
      <c r="P41" s="77">
        <f>ROUND((IF(K41="",Calc!$B$7,K41)-J41)/365.25,1)</f>
        <v/>
      </c>
      <c r="Q41" s="77">
        <f>IF(OR(H41="Coordenação",H41="Gerência",H41="Diretoria"),"Sim","Não")</f>
        <v/>
      </c>
    </row>
    <row r="42">
      <c r="A42" s="77" t="inlineStr">
        <is>
          <t>M1041</t>
        </is>
      </c>
      <c r="B42" s="77" t="inlineStr">
        <is>
          <t>Pedro Nunes</t>
        </is>
      </c>
      <c r="C42" s="77" t="inlineStr">
        <is>
          <t>M</t>
        </is>
      </c>
      <c r="D42" s="78" t="n">
        <v>33579</v>
      </c>
      <c r="E42" s="77">
        <f>DATEDIF(D42,IF(K42="",Calc!$B$7,K42),"y")</f>
        <v/>
      </c>
      <c r="F42" s="77">
        <f>LOOKUP(E42,{0,25,35,45,55},{"18-24","25-34","35-44","45-54","55+"})</f>
        <v/>
      </c>
      <c r="G42" s="77" t="inlineStr">
        <is>
          <t>Comercial</t>
        </is>
      </c>
      <c r="H42" s="77" t="inlineStr">
        <is>
          <t>Gerência</t>
        </is>
      </c>
      <c r="I42" s="79" t="n">
        <v>13400</v>
      </c>
      <c r="J42" s="78" t="n">
        <v>43070</v>
      </c>
      <c r="K42" s="78" t="n">
        <v>45752</v>
      </c>
      <c r="L42" s="77" t="inlineStr">
        <is>
          <t>Aposentadoria</t>
        </is>
      </c>
      <c r="M42" s="77" t="inlineStr">
        <is>
          <t>Belo Horizonte</t>
        </is>
      </c>
      <c r="N42" s="77" t="n">
        <v>4.4</v>
      </c>
      <c r="O42" s="77">
        <f>IF(K42="","Ativo","Desligado")</f>
        <v/>
      </c>
      <c r="P42" s="77">
        <f>ROUND((IF(K42="",Calc!$B$7,K42)-J42)/365.25,1)</f>
        <v/>
      </c>
      <c r="Q42" s="77">
        <f>IF(OR(H42="Coordenação",H42="Gerência",H42="Diretoria"),"Sim","Não")</f>
        <v/>
      </c>
    </row>
    <row r="43">
      <c r="A43" s="77" t="inlineStr">
        <is>
          <t>M1042</t>
        </is>
      </c>
      <c r="B43" s="77" t="inlineStr">
        <is>
          <t>Bianca Rocha</t>
        </is>
      </c>
      <c r="C43" s="77" t="inlineStr">
        <is>
          <t>F</t>
        </is>
      </c>
      <c r="D43" s="78" t="n">
        <v>26203</v>
      </c>
      <c r="E43" s="77">
        <f>DATEDIF(D43,IF(K43="",Calc!$B$7,K43),"y")</f>
        <v/>
      </c>
      <c r="F43" s="77">
        <f>LOOKUP(E43,{0,25,35,45,55},{"18-24","25-34","35-44","45-54","55+"})</f>
        <v/>
      </c>
      <c r="G43" s="77" t="inlineStr">
        <is>
          <t>Comercial</t>
        </is>
      </c>
      <c r="H43" s="77" t="inlineStr">
        <is>
          <t>Especialista</t>
        </is>
      </c>
      <c r="I43" s="79" t="n">
        <v>6950</v>
      </c>
      <c r="J43" s="78" t="n">
        <v>45413</v>
      </c>
      <c r="K43" s="78" t="n"/>
      <c r="L43" s="77" t="inlineStr"/>
      <c r="M43" s="77" t="inlineStr">
        <is>
          <t>Recife</t>
        </is>
      </c>
      <c r="N43" s="77" t="n">
        <v>4.5</v>
      </c>
      <c r="O43" s="77">
        <f>IF(K43="","Ativo","Desligado")</f>
        <v/>
      </c>
      <c r="P43" s="77">
        <f>ROUND((IF(K43="",Calc!$B$7,K43)-J43)/365.25,1)</f>
        <v/>
      </c>
      <c r="Q43" s="77">
        <f>IF(OR(H43="Coordenação",H43="Gerência",H43="Diretoria"),"Sim","Não")</f>
        <v/>
      </c>
    </row>
    <row r="44">
      <c r="A44" s="77" t="inlineStr">
        <is>
          <t>M1043</t>
        </is>
      </c>
      <c r="B44" s="77" t="inlineStr">
        <is>
          <t>Bruno Barbosa</t>
        </is>
      </c>
      <c r="C44" s="77" t="inlineStr">
        <is>
          <t>M</t>
        </is>
      </c>
      <c r="D44" s="78" t="n">
        <v>38413</v>
      </c>
      <c r="E44" s="77">
        <f>DATEDIF(D44,IF(K44="",Calc!$B$7,K44),"y")</f>
        <v/>
      </c>
      <c r="F44" s="77">
        <f>LOOKUP(E44,{0,25,35,45,55},{"18-24","25-34","35-44","45-54","55+"})</f>
        <v/>
      </c>
      <c r="G44" s="77" t="inlineStr">
        <is>
          <t>Financeiro</t>
        </is>
      </c>
      <c r="H44" s="77" t="inlineStr">
        <is>
          <t>Assistente</t>
        </is>
      </c>
      <c r="I44" s="79" t="n">
        <v>4400</v>
      </c>
      <c r="J44" s="78" t="n">
        <v>43221</v>
      </c>
      <c r="K44" s="78" t="n"/>
      <c r="L44" s="77" t="inlineStr"/>
      <c r="M44" s="77" t="inlineStr">
        <is>
          <t>Belo Horizonte</t>
        </is>
      </c>
      <c r="N44" s="77" t="n">
        <v>4.1</v>
      </c>
      <c r="O44" s="77">
        <f>IF(K44="","Ativo","Desligado")</f>
        <v/>
      </c>
      <c r="P44" s="77">
        <f>ROUND((IF(K44="",Calc!$B$7,K44)-J44)/365.25,1)</f>
        <v/>
      </c>
      <c r="Q44" s="77">
        <f>IF(OR(H44="Coordenação",H44="Gerência",H44="Diretoria"),"Sim","Não")</f>
        <v/>
      </c>
    </row>
    <row r="45">
      <c r="A45" s="77" t="inlineStr">
        <is>
          <t>M1044</t>
        </is>
      </c>
      <c r="B45" s="77" t="inlineStr">
        <is>
          <t>Vinícius Lima</t>
        </is>
      </c>
      <c r="C45" s="77" t="inlineStr">
        <is>
          <t>M</t>
        </is>
      </c>
      <c r="D45" s="78" t="n">
        <v>34532</v>
      </c>
      <c r="E45" s="77">
        <f>DATEDIF(D45,IF(K45="",Calc!$B$7,K45),"y")</f>
        <v/>
      </c>
      <c r="F45" s="77">
        <f>LOOKUP(E45,{0,25,35,45,55},{"18-24","25-34","35-44","45-54","55+"})</f>
        <v/>
      </c>
      <c r="G45" s="77" t="inlineStr">
        <is>
          <t>Comercial</t>
        </is>
      </c>
      <c r="H45" s="77" t="inlineStr">
        <is>
          <t>Analista</t>
        </is>
      </c>
      <c r="I45" s="79" t="n">
        <v>4350</v>
      </c>
      <c r="J45" s="78" t="n">
        <v>43868</v>
      </c>
      <c r="K45" s="78" t="n"/>
      <c r="L45" s="77" t="inlineStr"/>
      <c r="M45" s="77" t="inlineStr">
        <is>
          <t>Recife</t>
        </is>
      </c>
      <c r="N45" s="77" t="n">
        <v>3.4</v>
      </c>
      <c r="O45" s="77">
        <f>IF(K45="","Ativo","Desligado")</f>
        <v/>
      </c>
      <c r="P45" s="77">
        <f>ROUND((IF(K45="",Calc!$B$7,K45)-J45)/365.25,1)</f>
        <v/>
      </c>
      <c r="Q45" s="77">
        <f>IF(OR(H45="Coordenação",H45="Gerência",H45="Diretoria"),"Sim","Não")</f>
        <v/>
      </c>
    </row>
    <row r="46">
      <c r="A46" s="77" t="inlineStr">
        <is>
          <t>M1045</t>
        </is>
      </c>
      <c r="B46" s="77" t="inlineStr">
        <is>
          <t>Rodrigo Nunes</t>
        </is>
      </c>
      <c r="C46" s="77" t="inlineStr">
        <is>
          <t>M</t>
        </is>
      </c>
      <c r="D46" s="78" t="n">
        <v>26067</v>
      </c>
      <c r="E46" s="77">
        <f>DATEDIF(D46,IF(K46="",Calc!$B$7,K46),"y")</f>
        <v/>
      </c>
      <c r="F46" s="77">
        <f>LOOKUP(E46,{0,25,35,45,55},{"18-24","25-34","35-44","45-54","55+"})</f>
        <v/>
      </c>
      <c r="G46" s="77" t="inlineStr">
        <is>
          <t>Operações</t>
        </is>
      </c>
      <c r="H46" s="77" t="inlineStr">
        <is>
          <t>Assistente</t>
        </is>
      </c>
      <c r="I46" s="79" t="n">
        <v>2800</v>
      </c>
      <c r="J46" s="78" t="n">
        <v>41703</v>
      </c>
      <c r="K46" s="78" t="n"/>
      <c r="L46" s="77" t="inlineStr"/>
      <c r="M46" s="77" t="inlineStr">
        <is>
          <t>Curitiba</t>
        </is>
      </c>
      <c r="N46" s="77" t="n">
        <v>3.8</v>
      </c>
      <c r="O46" s="77">
        <f>IF(K46="","Ativo","Desligado")</f>
        <v/>
      </c>
      <c r="P46" s="77">
        <f>ROUND((IF(K46="",Calc!$B$7,K46)-J46)/365.25,1)</f>
        <v/>
      </c>
      <c r="Q46" s="77">
        <f>IF(OR(H46="Coordenação",H46="Gerência",H46="Diretoria"),"Sim","Não")</f>
        <v/>
      </c>
    </row>
    <row r="47">
      <c r="A47" s="77" t="inlineStr">
        <is>
          <t>M1046</t>
        </is>
      </c>
      <c r="B47" s="77" t="inlineStr">
        <is>
          <t>Rafael Gomes</t>
        </is>
      </c>
      <c r="C47" s="77" t="inlineStr">
        <is>
          <t>M</t>
        </is>
      </c>
      <c r="D47" s="78" t="n">
        <v>33136</v>
      </c>
      <c r="E47" s="77">
        <f>DATEDIF(D47,IF(K47="",Calc!$B$7,K47),"y")</f>
        <v/>
      </c>
      <c r="F47" s="77">
        <f>LOOKUP(E47,{0,25,35,45,55},{"18-24","25-34","35-44","45-54","55+"})</f>
        <v/>
      </c>
      <c r="G47" s="77" t="inlineStr">
        <is>
          <t>Tecnologia</t>
        </is>
      </c>
      <c r="H47" s="77" t="inlineStr">
        <is>
          <t>Assistente</t>
        </is>
      </c>
      <c r="I47" s="79" t="n">
        <v>5450</v>
      </c>
      <c r="J47" s="78" t="n">
        <v>41971</v>
      </c>
      <c r="K47" s="78" t="n">
        <v>45783</v>
      </c>
      <c r="L47" s="77" t="inlineStr">
        <is>
          <t>Pedido de demissão</t>
        </is>
      </c>
      <c r="M47" s="77" t="inlineStr">
        <is>
          <t>Belo Horizonte</t>
        </is>
      </c>
      <c r="N47" s="77" t="n">
        <v>4.7</v>
      </c>
      <c r="O47" s="77">
        <f>IF(K47="","Ativo","Desligado")</f>
        <v/>
      </c>
      <c r="P47" s="77">
        <f>ROUND((IF(K47="",Calc!$B$7,K47)-J47)/365.25,1)</f>
        <v/>
      </c>
      <c r="Q47" s="77">
        <f>IF(OR(H47="Coordenação",H47="Gerência",H47="Diretoria"),"Sim","Não")</f>
        <v/>
      </c>
    </row>
    <row r="48">
      <c r="A48" s="77" t="inlineStr">
        <is>
          <t>M1047</t>
        </is>
      </c>
      <c r="B48" s="77" t="inlineStr">
        <is>
          <t>Diego Ribeiro</t>
        </is>
      </c>
      <c r="C48" s="77" t="inlineStr">
        <is>
          <t>M</t>
        </is>
      </c>
      <c r="D48" s="78" t="n">
        <v>33133</v>
      </c>
      <c r="E48" s="77">
        <f>DATEDIF(D48,IF(K48="",Calc!$B$7,K48),"y")</f>
        <v/>
      </c>
      <c r="F48" s="77">
        <f>LOOKUP(E48,{0,25,35,45,55},{"18-24","25-34","35-44","45-54","55+"})</f>
        <v/>
      </c>
      <c r="G48" s="77" t="inlineStr">
        <is>
          <t>Financeiro</t>
        </is>
      </c>
      <c r="H48" s="77" t="inlineStr">
        <is>
          <t>Analista</t>
        </is>
      </c>
      <c r="I48" s="79" t="n">
        <v>5300</v>
      </c>
      <c r="J48" s="78" t="n">
        <v>41621</v>
      </c>
      <c r="K48" s="78" t="n"/>
      <c r="L48" s="77" t="inlineStr"/>
      <c r="M48" s="77" t="inlineStr">
        <is>
          <t>São Paulo</t>
        </is>
      </c>
      <c r="N48" s="77" t="n">
        <v>4</v>
      </c>
      <c r="O48" s="77">
        <f>IF(K48="","Ativo","Desligado")</f>
        <v/>
      </c>
      <c r="P48" s="77">
        <f>ROUND((IF(K48="",Calc!$B$7,K48)-J48)/365.25,1)</f>
        <v/>
      </c>
      <c r="Q48" s="77">
        <f>IF(OR(H48="Coordenação",H48="Gerência",H48="Diretoria"),"Sim","Não")</f>
        <v/>
      </c>
    </row>
    <row r="49">
      <c r="A49" s="77" t="inlineStr">
        <is>
          <t>M1048</t>
        </is>
      </c>
      <c r="B49" s="77" t="inlineStr">
        <is>
          <t>Diego Ferreira</t>
        </is>
      </c>
      <c r="C49" s="77" t="inlineStr">
        <is>
          <t>M</t>
        </is>
      </c>
      <c r="D49" s="78" t="n">
        <v>30760</v>
      </c>
      <c r="E49" s="77">
        <f>DATEDIF(D49,IF(K49="",Calc!$B$7,K49),"y")</f>
        <v/>
      </c>
      <c r="F49" s="77">
        <f>LOOKUP(E49,{0,25,35,45,55},{"18-24","25-34","35-44","45-54","55+"})</f>
        <v/>
      </c>
      <c r="G49" s="77" t="inlineStr">
        <is>
          <t>Tecnologia</t>
        </is>
      </c>
      <c r="H49" s="77" t="inlineStr">
        <is>
          <t>Gerência</t>
        </is>
      </c>
      <c r="I49" s="79" t="n">
        <v>24450</v>
      </c>
      <c r="J49" s="78" t="n">
        <v>41411</v>
      </c>
      <c r="K49" s="78" t="n"/>
      <c r="L49" s="77" t="inlineStr"/>
      <c r="M49" s="77" t="inlineStr">
        <is>
          <t>São Paulo</t>
        </is>
      </c>
      <c r="N49" s="77" t="n">
        <v>4.4</v>
      </c>
      <c r="O49" s="77">
        <f>IF(K49="","Ativo","Desligado")</f>
        <v/>
      </c>
      <c r="P49" s="77">
        <f>ROUND((IF(K49="",Calc!$B$7,K49)-J49)/365.25,1)</f>
        <v/>
      </c>
      <c r="Q49" s="77">
        <f>IF(OR(H49="Coordenação",H49="Gerência",H49="Diretoria"),"Sim","Não")</f>
        <v/>
      </c>
    </row>
    <row r="50">
      <c r="A50" s="77" t="inlineStr">
        <is>
          <t>M1049</t>
        </is>
      </c>
      <c r="B50" s="77" t="inlineStr">
        <is>
          <t>Luana Lima</t>
        </is>
      </c>
      <c r="C50" s="77" t="inlineStr">
        <is>
          <t>F</t>
        </is>
      </c>
      <c r="D50" s="78" t="n">
        <v>28852</v>
      </c>
      <c r="E50" s="77">
        <f>DATEDIF(D50,IF(K50="",Calc!$B$7,K50),"y")</f>
        <v/>
      </c>
      <c r="F50" s="77">
        <f>LOOKUP(E50,{0,25,35,45,55},{"18-24","25-34","35-44","45-54","55+"})</f>
        <v/>
      </c>
      <c r="G50" s="77" t="inlineStr">
        <is>
          <t>Tecnologia</t>
        </is>
      </c>
      <c r="H50" s="77" t="inlineStr">
        <is>
          <t>Assistente</t>
        </is>
      </c>
      <c r="I50" s="79" t="n">
        <v>6250</v>
      </c>
      <c r="J50" s="78" t="n">
        <v>44062</v>
      </c>
      <c r="K50" s="78" t="n">
        <v>45827</v>
      </c>
      <c r="L50" s="77" t="inlineStr">
        <is>
          <t>Pedido de demissão</t>
        </is>
      </c>
      <c r="M50" s="77" t="inlineStr">
        <is>
          <t>Belo Horizonte</t>
        </is>
      </c>
      <c r="N50" s="77" t="n">
        <v>4</v>
      </c>
      <c r="O50" s="77">
        <f>IF(K50="","Ativo","Desligado")</f>
        <v/>
      </c>
      <c r="P50" s="77">
        <f>ROUND((IF(K50="",Calc!$B$7,K50)-J50)/365.25,1)</f>
        <v/>
      </c>
      <c r="Q50" s="77">
        <f>IF(OR(H50="Coordenação",H50="Gerência",H50="Diretoria"),"Sim","Não")</f>
        <v/>
      </c>
    </row>
    <row r="51">
      <c r="A51" s="77" t="inlineStr">
        <is>
          <t>M1050</t>
        </is>
      </c>
      <c r="B51" s="77" t="inlineStr">
        <is>
          <t>Ana Carvalho</t>
        </is>
      </c>
      <c r="C51" s="77" t="inlineStr">
        <is>
          <t>F</t>
        </is>
      </c>
      <c r="D51" s="78" t="n">
        <v>27365</v>
      </c>
      <c r="E51" s="77">
        <f>DATEDIF(D51,IF(K51="",Calc!$B$7,K51),"y")</f>
        <v/>
      </c>
      <c r="F51" s="77">
        <f>LOOKUP(E51,{0,25,35,45,55},{"18-24","25-34","35-44","45-54","55+"})</f>
        <v/>
      </c>
      <c r="G51" s="77" t="inlineStr">
        <is>
          <t>Operações</t>
        </is>
      </c>
      <c r="H51" s="77" t="inlineStr">
        <is>
          <t>Coordenação</t>
        </is>
      </c>
      <c r="I51" s="79" t="n">
        <v>6400</v>
      </c>
      <c r="J51" s="78" t="n">
        <v>43117</v>
      </c>
      <c r="K51" s="78" t="n"/>
      <c r="L51" s="77" t="inlineStr"/>
      <c r="M51" s="77" t="inlineStr">
        <is>
          <t>São Paulo</t>
        </is>
      </c>
      <c r="N51" s="77" t="n">
        <v>3.6</v>
      </c>
      <c r="O51" s="77">
        <f>IF(K51="","Ativo","Desligado")</f>
        <v/>
      </c>
      <c r="P51" s="77">
        <f>ROUND((IF(K51="",Calc!$B$7,K51)-J51)/365.25,1)</f>
        <v/>
      </c>
      <c r="Q51" s="77">
        <f>IF(OR(H51="Coordenação",H51="Gerência",H51="Diretoria"),"Sim","Não")</f>
        <v/>
      </c>
    </row>
    <row r="52">
      <c r="A52" s="77" t="inlineStr">
        <is>
          <t>M1051</t>
        </is>
      </c>
      <c r="B52" s="77" t="inlineStr">
        <is>
          <t>Otávio Dias</t>
        </is>
      </c>
      <c r="C52" s="77" t="inlineStr">
        <is>
          <t>M</t>
        </is>
      </c>
      <c r="D52" s="78" t="n">
        <v>37389</v>
      </c>
      <c r="E52" s="77">
        <f>DATEDIF(D52,IF(K52="",Calc!$B$7,K52),"y")</f>
        <v/>
      </c>
      <c r="F52" s="77">
        <f>LOOKUP(E52,{0,25,35,45,55},{"18-24","25-34","35-44","45-54","55+"})</f>
        <v/>
      </c>
      <c r="G52" s="77" t="inlineStr">
        <is>
          <t>Comercial</t>
        </is>
      </c>
      <c r="H52" s="77" t="inlineStr">
        <is>
          <t>Analista</t>
        </is>
      </c>
      <c r="I52" s="79" t="n">
        <v>4400</v>
      </c>
      <c r="J52" s="78" t="n">
        <v>43702</v>
      </c>
      <c r="K52" s="78" t="n"/>
      <c r="L52" s="77" t="inlineStr"/>
      <c r="M52" s="77" t="inlineStr">
        <is>
          <t>São Paulo</t>
        </is>
      </c>
      <c r="N52" s="77" t="n">
        <v>4.1</v>
      </c>
      <c r="O52" s="77">
        <f>IF(K52="","Ativo","Desligado")</f>
        <v/>
      </c>
      <c r="P52" s="77">
        <f>ROUND((IF(K52="",Calc!$B$7,K52)-J52)/365.25,1)</f>
        <v/>
      </c>
      <c r="Q52" s="77">
        <f>IF(OR(H52="Coordenação",H52="Gerência",H52="Diretoria"),"Sim","Não")</f>
        <v/>
      </c>
    </row>
    <row r="53">
      <c r="A53" s="77" t="inlineStr">
        <is>
          <t>M1052</t>
        </is>
      </c>
      <c r="B53" s="77" t="inlineStr">
        <is>
          <t>Bruno Nunes</t>
        </is>
      </c>
      <c r="C53" s="77" t="inlineStr">
        <is>
          <t>M</t>
        </is>
      </c>
      <c r="D53" s="78" t="n">
        <v>33140</v>
      </c>
      <c r="E53" s="77">
        <f>DATEDIF(D53,IF(K53="",Calc!$B$7,K53),"y")</f>
        <v/>
      </c>
      <c r="F53" s="77">
        <f>LOOKUP(E53,{0,25,35,45,55},{"18-24","25-34","35-44","45-54","55+"})</f>
        <v/>
      </c>
      <c r="G53" s="77" t="inlineStr">
        <is>
          <t>RH</t>
        </is>
      </c>
      <c r="H53" s="77" t="inlineStr">
        <is>
          <t>Especialista</t>
        </is>
      </c>
      <c r="I53" s="79" t="n">
        <v>7350</v>
      </c>
      <c r="J53" s="78" t="n">
        <v>44444</v>
      </c>
      <c r="K53" s="78" t="n"/>
      <c r="L53" s="77" t="inlineStr"/>
      <c r="M53" s="77" t="inlineStr">
        <is>
          <t>Belo Horizonte</t>
        </is>
      </c>
      <c r="N53" s="77" t="n">
        <v>3.8</v>
      </c>
      <c r="O53" s="77">
        <f>IF(K53="","Ativo","Desligado")</f>
        <v/>
      </c>
      <c r="P53" s="77">
        <f>ROUND((IF(K53="",Calc!$B$7,K53)-J53)/365.25,1)</f>
        <v/>
      </c>
      <c r="Q53" s="77">
        <f>IF(OR(H53="Coordenação",H53="Gerência",H53="Diretoria"),"Sim","Não")</f>
        <v/>
      </c>
    </row>
    <row r="54">
      <c r="A54" s="77" t="inlineStr">
        <is>
          <t>M1053</t>
        </is>
      </c>
      <c r="B54" s="77" t="inlineStr">
        <is>
          <t>Mateus Ferreira</t>
        </is>
      </c>
      <c r="C54" s="77" t="inlineStr">
        <is>
          <t>M</t>
        </is>
      </c>
      <c r="D54" s="78" t="n">
        <v>31530</v>
      </c>
      <c r="E54" s="77">
        <f>DATEDIF(D54,IF(K54="",Calc!$B$7,K54),"y")</f>
        <v/>
      </c>
      <c r="F54" s="77">
        <f>LOOKUP(E54,{0,25,35,45,55},{"18-24","25-34","35-44","45-54","55+"})</f>
        <v/>
      </c>
      <c r="G54" s="77" t="inlineStr">
        <is>
          <t>Comercial</t>
        </is>
      </c>
      <c r="H54" s="77" t="inlineStr">
        <is>
          <t>Assistente</t>
        </is>
      </c>
      <c r="I54" s="79" t="n">
        <v>2900</v>
      </c>
      <c r="J54" s="78" t="n">
        <v>42519</v>
      </c>
      <c r="K54" s="78" t="n">
        <v>45926</v>
      </c>
      <c r="L54" s="77" t="inlineStr">
        <is>
          <t>Pedido de demissão</t>
        </is>
      </c>
      <c r="M54" s="77" t="inlineStr">
        <is>
          <t>São Paulo</t>
        </is>
      </c>
      <c r="N54" s="77" t="n">
        <v>3.5</v>
      </c>
      <c r="O54" s="77">
        <f>IF(K54="","Ativo","Desligado")</f>
        <v/>
      </c>
      <c r="P54" s="77">
        <f>ROUND((IF(K54="",Calc!$B$7,K54)-J54)/365.25,1)</f>
        <v/>
      </c>
      <c r="Q54" s="77">
        <f>IF(OR(H54="Coordenação",H54="Gerência",H54="Diretoria"),"Sim","Não")</f>
        <v/>
      </c>
    </row>
    <row r="55">
      <c r="A55" s="77" t="inlineStr">
        <is>
          <t>M1054</t>
        </is>
      </c>
      <c r="B55" s="77" t="inlineStr">
        <is>
          <t>Eduarda Costa</t>
        </is>
      </c>
      <c r="C55" s="77" t="inlineStr">
        <is>
          <t>F</t>
        </is>
      </c>
      <c r="D55" s="78" t="n">
        <v>26635</v>
      </c>
      <c r="E55" s="77">
        <f>DATEDIF(D55,IF(K55="",Calc!$B$7,K55),"y")</f>
        <v/>
      </c>
      <c r="F55" s="77">
        <f>LOOKUP(E55,{0,25,35,45,55},{"18-24","25-34","35-44","45-54","55+"})</f>
        <v/>
      </c>
      <c r="G55" s="77" t="inlineStr">
        <is>
          <t>Operações</t>
        </is>
      </c>
      <c r="H55" s="77" t="inlineStr">
        <is>
          <t>Coordenação</t>
        </is>
      </c>
      <c r="I55" s="79" t="n">
        <v>6100</v>
      </c>
      <c r="J55" s="78" t="n">
        <v>43068</v>
      </c>
      <c r="K55" s="78" t="n"/>
      <c r="L55" s="77" t="inlineStr"/>
      <c r="M55" s="77" t="inlineStr">
        <is>
          <t>São Paulo</t>
        </is>
      </c>
      <c r="N55" s="77" t="n">
        <v>4.5</v>
      </c>
      <c r="O55" s="77">
        <f>IF(K55="","Ativo","Desligado")</f>
        <v/>
      </c>
      <c r="P55" s="77">
        <f>ROUND((IF(K55="",Calc!$B$7,K55)-J55)/365.25,1)</f>
        <v/>
      </c>
      <c r="Q55" s="77">
        <f>IF(OR(H55="Coordenação",H55="Gerência",H55="Diretoria"),"Sim","Não")</f>
        <v/>
      </c>
    </row>
    <row r="56">
      <c r="A56" s="77" t="inlineStr">
        <is>
          <t>M1055</t>
        </is>
      </c>
      <c r="B56" s="77" t="inlineStr">
        <is>
          <t>Bruno Pereira</t>
        </is>
      </c>
      <c r="C56" s="77" t="inlineStr">
        <is>
          <t>M</t>
        </is>
      </c>
      <c r="D56" s="78" t="n">
        <v>31881</v>
      </c>
      <c r="E56" s="77">
        <f>DATEDIF(D56,IF(K56="",Calc!$B$7,K56),"y")</f>
        <v/>
      </c>
      <c r="F56" s="77">
        <f>LOOKUP(E56,{0,25,35,45,55},{"18-24","25-34","35-44","45-54","55+"})</f>
        <v/>
      </c>
      <c r="G56" s="77" t="inlineStr">
        <is>
          <t>Comercial</t>
        </is>
      </c>
      <c r="H56" s="77" t="inlineStr">
        <is>
          <t>Gerência</t>
        </is>
      </c>
      <c r="I56" s="79" t="n">
        <v>12950</v>
      </c>
      <c r="J56" s="78" t="n">
        <v>44740</v>
      </c>
      <c r="K56" s="78" t="n"/>
      <c r="L56" s="77" t="inlineStr"/>
      <c r="M56" s="77" t="inlineStr">
        <is>
          <t>Curitiba</t>
        </is>
      </c>
      <c r="N56" s="77" t="n">
        <v>3.5</v>
      </c>
      <c r="O56" s="77">
        <f>IF(K56="","Ativo","Desligado")</f>
        <v/>
      </c>
      <c r="P56" s="77">
        <f>ROUND((IF(K56="",Calc!$B$7,K56)-J56)/365.25,1)</f>
        <v/>
      </c>
      <c r="Q56" s="77">
        <f>IF(OR(H56="Coordenação",H56="Gerência",H56="Diretoria"),"Sim","Não")</f>
        <v/>
      </c>
    </row>
    <row r="57">
      <c r="A57" s="77" t="inlineStr">
        <is>
          <t>M1056</t>
        </is>
      </c>
      <c r="B57" s="77" t="inlineStr">
        <is>
          <t>Samuel Lima</t>
        </is>
      </c>
      <c r="C57" s="77" t="inlineStr">
        <is>
          <t>M</t>
        </is>
      </c>
      <c r="D57" s="78" t="n">
        <v>37242</v>
      </c>
      <c r="E57" s="77">
        <f>DATEDIF(D57,IF(K57="",Calc!$B$7,K57),"y")</f>
        <v/>
      </c>
      <c r="F57" s="77">
        <f>LOOKUP(E57,{0,25,35,45,55},{"18-24","25-34","35-44","45-54","55+"})</f>
        <v/>
      </c>
      <c r="G57" s="77" t="inlineStr">
        <is>
          <t>Financeiro</t>
        </is>
      </c>
      <c r="H57" s="77" t="inlineStr">
        <is>
          <t>Analista</t>
        </is>
      </c>
      <c r="I57" s="79" t="n">
        <v>5200</v>
      </c>
      <c r="J57" s="78" t="n">
        <v>45057</v>
      </c>
      <c r="K57" s="78" t="n"/>
      <c r="L57" s="77" t="inlineStr"/>
      <c r="M57" s="77" t="inlineStr">
        <is>
          <t>São Paulo</t>
        </is>
      </c>
      <c r="N57" s="77" t="n">
        <v>3.7</v>
      </c>
      <c r="O57" s="77">
        <f>IF(K57="","Ativo","Desligado")</f>
        <v/>
      </c>
      <c r="P57" s="77">
        <f>ROUND((IF(K57="",Calc!$B$7,K57)-J57)/365.25,1)</f>
        <v/>
      </c>
      <c r="Q57" s="77">
        <f>IF(OR(H57="Coordenação",H57="Gerência",H57="Diretoria"),"Sim","Não")</f>
        <v/>
      </c>
    </row>
    <row r="58">
      <c r="A58" s="77" t="inlineStr">
        <is>
          <t>M1057</t>
        </is>
      </c>
      <c r="B58" s="77" t="inlineStr">
        <is>
          <t>Lucas Oliveira</t>
        </is>
      </c>
      <c r="C58" s="77" t="inlineStr">
        <is>
          <t>M</t>
        </is>
      </c>
      <c r="D58" s="78" t="n">
        <v>33698</v>
      </c>
      <c r="E58" s="77">
        <f>DATEDIF(D58,IF(K58="",Calc!$B$7,K58),"y")</f>
        <v/>
      </c>
      <c r="F58" s="77">
        <f>LOOKUP(E58,{0,25,35,45,55},{"18-24","25-34","35-44","45-54","55+"})</f>
        <v/>
      </c>
      <c r="G58" s="77" t="inlineStr">
        <is>
          <t>Financeiro</t>
        </is>
      </c>
      <c r="H58" s="77" t="inlineStr">
        <is>
          <t>Assistente</t>
        </is>
      </c>
      <c r="I58" s="79" t="n">
        <v>4650</v>
      </c>
      <c r="J58" s="78" t="n">
        <v>43007</v>
      </c>
      <c r="K58" s="78" t="n"/>
      <c r="L58" s="77" t="inlineStr"/>
      <c r="M58" s="77" t="inlineStr">
        <is>
          <t>São Paulo</t>
        </is>
      </c>
      <c r="N58" s="77" t="n">
        <v>4.4</v>
      </c>
      <c r="O58" s="77">
        <f>IF(K58="","Ativo","Desligado")</f>
        <v/>
      </c>
      <c r="P58" s="77">
        <f>ROUND((IF(K58="",Calc!$B$7,K58)-J58)/365.25,1)</f>
        <v/>
      </c>
      <c r="Q58" s="77">
        <f>IF(OR(H58="Coordenação",H58="Gerência",H58="Diretoria"),"Sim","Não")</f>
        <v/>
      </c>
    </row>
    <row r="59">
      <c r="A59" s="77" t="inlineStr">
        <is>
          <t>M1058</t>
        </is>
      </c>
      <c r="B59" s="77" t="inlineStr">
        <is>
          <t>Thiago Alves</t>
        </is>
      </c>
      <c r="C59" s="77" t="inlineStr">
        <is>
          <t>M</t>
        </is>
      </c>
      <c r="D59" s="78" t="n">
        <v>34344</v>
      </c>
      <c r="E59" s="77">
        <f>DATEDIF(D59,IF(K59="",Calc!$B$7,K59),"y")</f>
        <v/>
      </c>
      <c r="F59" s="77">
        <f>LOOKUP(E59,{0,25,35,45,55},{"18-24","25-34","35-44","45-54","55+"})</f>
        <v/>
      </c>
      <c r="G59" s="77" t="inlineStr">
        <is>
          <t>Operações</t>
        </is>
      </c>
      <c r="H59" s="77" t="inlineStr">
        <is>
          <t>Analista</t>
        </is>
      </c>
      <c r="I59" s="79" t="n">
        <v>2900</v>
      </c>
      <c r="J59" s="78" t="n">
        <v>44587</v>
      </c>
      <c r="K59" s="78" t="n"/>
      <c r="L59" s="77" t="inlineStr"/>
      <c r="M59" s="77" t="inlineStr">
        <is>
          <t>São Paulo</t>
        </is>
      </c>
      <c r="N59" s="77" t="n">
        <v>4.1</v>
      </c>
      <c r="O59" s="77">
        <f>IF(K59="","Ativo","Desligado")</f>
        <v/>
      </c>
      <c r="P59" s="77">
        <f>ROUND((IF(K59="",Calc!$B$7,K59)-J59)/365.25,1)</f>
        <v/>
      </c>
      <c r="Q59" s="77">
        <f>IF(OR(H59="Coordenação",H59="Gerência",H59="Diretoria"),"Sim","Não")</f>
        <v/>
      </c>
    </row>
    <row r="60">
      <c r="A60" s="77" t="inlineStr">
        <is>
          <t>M1059</t>
        </is>
      </c>
      <c r="B60" s="77" t="inlineStr">
        <is>
          <t>Bruno Silva</t>
        </is>
      </c>
      <c r="C60" s="77" t="inlineStr">
        <is>
          <t>M</t>
        </is>
      </c>
      <c r="D60" s="78" t="n">
        <v>36580</v>
      </c>
      <c r="E60" s="77">
        <f>DATEDIF(D60,IF(K60="",Calc!$B$7,K60),"y")</f>
        <v/>
      </c>
      <c r="F60" s="77">
        <f>LOOKUP(E60,{0,25,35,45,55},{"18-24","25-34","35-44","45-54","55+"})</f>
        <v/>
      </c>
      <c r="G60" s="77" t="inlineStr">
        <is>
          <t>Tecnologia</t>
        </is>
      </c>
      <c r="H60" s="77" t="inlineStr">
        <is>
          <t>Assistente</t>
        </is>
      </c>
      <c r="I60" s="79" t="n">
        <v>6050</v>
      </c>
      <c r="J60" s="78" t="n">
        <v>45011</v>
      </c>
      <c r="K60" s="78" t="n"/>
      <c r="L60" s="77" t="inlineStr"/>
      <c r="M60" s="77" t="inlineStr">
        <is>
          <t>São Paulo</t>
        </is>
      </c>
      <c r="N60" s="77" t="n">
        <v>4.2</v>
      </c>
      <c r="O60" s="77">
        <f>IF(K60="","Ativo","Desligado")</f>
        <v/>
      </c>
      <c r="P60" s="77">
        <f>ROUND((IF(K60="",Calc!$B$7,K60)-J60)/365.25,1)</f>
        <v/>
      </c>
      <c r="Q60" s="77">
        <f>IF(OR(H60="Coordenação",H60="Gerência",H60="Diretoria"),"Sim","Não")</f>
        <v/>
      </c>
    </row>
    <row r="61">
      <c r="A61" s="77" t="inlineStr">
        <is>
          <t>M1060</t>
        </is>
      </c>
      <c r="B61" s="77" t="inlineStr">
        <is>
          <t>Otávio Nunes</t>
        </is>
      </c>
      <c r="C61" s="77" t="inlineStr">
        <is>
          <t>M</t>
        </is>
      </c>
      <c r="D61" s="78" t="n">
        <v>28202</v>
      </c>
      <c r="E61" s="77">
        <f>DATEDIF(D61,IF(K61="",Calc!$B$7,K61),"y")</f>
        <v/>
      </c>
      <c r="F61" s="77">
        <f>LOOKUP(E61,{0,25,35,45,55},{"18-24","25-34","35-44","45-54","55+"})</f>
        <v/>
      </c>
      <c r="G61" s="77" t="inlineStr">
        <is>
          <t>Operações</t>
        </is>
      </c>
      <c r="H61" s="77" t="inlineStr">
        <is>
          <t>Gerência</t>
        </is>
      </c>
      <c r="I61" s="79" t="n">
        <v>8800</v>
      </c>
      <c r="J61" s="78" t="n">
        <v>43552</v>
      </c>
      <c r="K61" s="78" t="n"/>
      <c r="L61" s="77" t="inlineStr"/>
      <c r="M61" s="77" t="inlineStr">
        <is>
          <t>Recife</t>
        </is>
      </c>
      <c r="N61" s="77" t="n">
        <v>3.7</v>
      </c>
      <c r="O61" s="77">
        <f>IF(K61="","Ativo","Desligado")</f>
        <v/>
      </c>
      <c r="P61" s="77">
        <f>ROUND((IF(K61="",Calc!$B$7,K61)-J61)/365.25,1)</f>
        <v/>
      </c>
      <c r="Q61" s="77">
        <f>IF(OR(H61="Coordenação",H61="Gerência",H61="Diretoria"),"Sim","Não")</f>
        <v/>
      </c>
    </row>
    <row r="62">
      <c r="A62" s="77" t="inlineStr">
        <is>
          <t>M1061</t>
        </is>
      </c>
      <c r="B62" s="77" t="inlineStr">
        <is>
          <t>Camila Gomes</t>
        </is>
      </c>
      <c r="C62" s="77" t="inlineStr">
        <is>
          <t>F</t>
        </is>
      </c>
      <c r="D62" s="78" t="n">
        <v>33657</v>
      </c>
      <c r="E62" s="77">
        <f>DATEDIF(D62,IF(K62="",Calc!$B$7,K62),"y")</f>
        <v/>
      </c>
      <c r="F62" s="77">
        <f>LOOKUP(E62,{0,25,35,45,55},{"18-24","25-34","35-44","45-54","55+"})</f>
        <v/>
      </c>
      <c r="G62" s="77" t="inlineStr">
        <is>
          <t>Operações</t>
        </is>
      </c>
      <c r="H62" s="77" t="inlineStr">
        <is>
          <t>Assistente</t>
        </is>
      </c>
      <c r="I62" s="79" t="n">
        <v>2250</v>
      </c>
      <c r="J62" s="78" t="n">
        <v>43056</v>
      </c>
      <c r="K62" s="78" t="n"/>
      <c r="L62" s="77" t="inlineStr"/>
      <c r="M62" s="77" t="inlineStr">
        <is>
          <t>Curitiba</t>
        </is>
      </c>
      <c r="N62" s="77" t="n">
        <v>4.4</v>
      </c>
      <c r="O62" s="77">
        <f>IF(K62="","Ativo","Desligado")</f>
        <v/>
      </c>
      <c r="P62" s="77">
        <f>ROUND((IF(K62="",Calc!$B$7,K62)-J62)/365.25,1)</f>
        <v/>
      </c>
      <c r="Q62" s="77">
        <f>IF(OR(H62="Coordenação",H62="Gerência",H62="Diretoria"),"Sim","Não")</f>
        <v/>
      </c>
    </row>
    <row r="63">
      <c r="A63" s="77" t="inlineStr">
        <is>
          <t>M1062</t>
        </is>
      </c>
      <c r="B63" s="77" t="inlineStr">
        <is>
          <t>Vinícius Lima</t>
        </is>
      </c>
      <c r="C63" s="77" t="inlineStr">
        <is>
          <t>M</t>
        </is>
      </c>
      <c r="D63" s="78" t="n">
        <v>34885</v>
      </c>
      <c r="E63" s="77">
        <f>DATEDIF(D63,IF(K63="",Calc!$B$7,K63),"y")</f>
        <v/>
      </c>
      <c r="F63" s="77">
        <f>LOOKUP(E63,{0,25,35,45,55},{"18-24","25-34","35-44","45-54","55+"})</f>
        <v/>
      </c>
      <c r="G63" s="77" t="inlineStr">
        <is>
          <t>RH</t>
        </is>
      </c>
      <c r="H63" s="77" t="inlineStr">
        <is>
          <t>Coordenação</t>
        </is>
      </c>
      <c r="I63" s="79" t="n">
        <v>8250</v>
      </c>
      <c r="J63" s="78" t="n">
        <v>41346</v>
      </c>
      <c r="K63" s="78" t="n"/>
      <c r="L63" s="77" t="inlineStr"/>
      <c r="M63" s="77" t="inlineStr">
        <is>
          <t>Belo Horizonte</t>
        </is>
      </c>
      <c r="N63" s="77" t="n">
        <v>3.5</v>
      </c>
      <c r="O63" s="77">
        <f>IF(K63="","Ativo","Desligado")</f>
        <v/>
      </c>
      <c r="P63" s="77">
        <f>ROUND((IF(K63="",Calc!$B$7,K63)-J63)/365.25,1)</f>
        <v/>
      </c>
      <c r="Q63" s="77">
        <f>IF(OR(H63="Coordenação",H63="Gerência",H63="Diretoria"),"Sim","Não")</f>
        <v/>
      </c>
    </row>
    <row r="64">
      <c r="A64" s="77" t="inlineStr">
        <is>
          <t>M1063</t>
        </is>
      </c>
      <c r="B64" s="77" t="inlineStr">
        <is>
          <t>Eduardo Pereira</t>
        </is>
      </c>
      <c r="C64" s="77" t="inlineStr">
        <is>
          <t>M</t>
        </is>
      </c>
      <c r="D64" s="78" t="n">
        <v>36668</v>
      </c>
      <c r="E64" s="77">
        <f>DATEDIF(D64,IF(K64="",Calc!$B$7,K64),"y")</f>
        <v/>
      </c>
      <c r="F64" s="77">
        <f>LOOKUP(E64,{0,25,35,45,55},{"18-24","25-34","35-44","45-54","55+"})</f>
        <v/>
      </c>
      <c r="G64" s="77" t="inlineStr">
        <is>
          <t>Comercial</t>
        </is>
      </c>
      <c r="H64" s="77" t="inlineStr">
        <is>
          <t>Assistente</t>
        </is>
      </c>
      <c r="I64" s="79" t="n">
        <v>2850</v>
      </c>
      <c r="J64" s="78" t="n">
        <v>43567</v>
      </c>
      <c r="K64" s="78" t="n"/>
      <c r="L64" s="77" t="inlineStr"/>
      <c r="M64" s="77" t="inlineStr">
        <is>
          <t>São Paulo</t>
        </is>
      </c>
      <c r="N64" s="77" t="n">
        <v>3.8</v>
      </c>
      <c r="O64" s="77">
        <f>IF(K64="","Ativo","Desligado")</f>
        <v/>
      </c>
      <c r="P64" s="77">
        <f>ROUND((IF(K64="",Calc!$B$7,K64)-J64)/365.25,1)</f>
        <v/>
      </c>
      <c r="Q64" s="77">
        <f>IF(OR(H64="Coordenação",H64="Gerência",H64="Diretoria"),"Sim","Não")</f>
        <v/>
      </c>
    </row>
    <row r="65">
      <c r="A65" s="77" t="inlineStr">
        <is>
          <t>M1064</t>
        </is>
      </c>
      <c r="B65" s="77" t="inlineStr">
        <is>
          <t>Pedro Gomes</t>
        </is>
      </c>
      <c r="C65" s="77" t="inlineStr">
        <is>
          <t>M</t>
        </is>
      </c>
      <c r="D65" s="78" t="n">
        <v>29054</v>
      </c>
      <c r="E65" s="77">
        <f>DATEDIF(D65,IF(K65="",Calc!$B$7,K65),"y")</f>
        <v/>
      </c>
      <c r="F65" s="77">
        <f>LOOKUP(E65,{0,25,35,45,55},{"18-24","25-34","35-44","45-54","55+"})</f>
        <v/>
      </c>
      <c r="G65" s="77" t="inlineStr">
        <is>
          <t>Comercial</t>
        </is>
      </c>
      <c r="H65" s="77" t="inlineStr">
        <is>
          <t>Coordenação</t>
        </is>
      </c>
      <c r="I65" s="79" t="n">
        <v>8550</v>
      </c>
      <c r="J65" s="78" t="n">
        <v>44512</v>
      </c>
      <c r="K65" s="78" t="n"/>
      <c r="L65" s="77" t="inlineStr"/>
      <c r="M65" s="77" t="inlineStr">
        <is>
          <t>Curitiba</t>
        </is>
      </c>
      <c r="N65" s="77" t="n">
        <v>3.6</v>
      </c>
      <c r="O65" s="77">
        <f>IF(K65="","Ativo","Desligado")</f>
        <v/>
      </c>
      <c r="P65" s="77">
        <f>ROUND((IF(K65="",Calc!$B$7,K65)-J65)/365.25,1)</f>
        <v/>
      </c>
      <c r="Q65" s="77">
        <f>IF(OR(H65="Coordenação",H65="Gerência",H65="Diretoria"),"Sim","Não")</f>
        <v/>
      </c>
    </row>
    <row r="66">
      <c r="A66" s="77" t="inlineStr">
        <is>
          <t>M1065</t>
        </is>
      </c>
      <c r="B66" s="77" t="inlineStr">
        <is>
          <t>Fernanda Santos</t>
        </is>
      </c>
      <c r="C66" s="77" t="inlineStr">
        <is>
          <t>F</t>
        </is>
      </c>
      <c r="D66" s="78" t="n">
        <v>37966</v>
      </c>
      <c r="E66" s="77">
        <f>DATEDIF(D66,IF(K66="",Calc!$B$7,K66),"y")</f>
        <v/>
      </c>
      <c r="F66" s="77">
        <f>LOOKUP(E66,{0,25,35,45,55},{"18-24","25-34","35-44","45-54","55+"})</f>
        <v/>
      </c>
      <c r="G66" s="77" t="inlineStr">
        <is>
          <t>Comercial</t>
        </is>
      </c>
      <c r="H66" s="77" t="inlineStr">
        <is>
          <t>Assistente</t>
        </is>
      </c>
      <c r="I66" s="79" t="n">
        <v>3600</v>
      </c>
      <c r="J66" s="78" t="n">
        <v>43636</v>
      </c>
      <c r="K66" s="78" t="n">
        <v>45975</v>
      </c>
      <c r="L66" s="77" t="inlineStr">
        <is>
          <t>Dispensa</t>
        </is>
      </c>
      <c r="M66" s="77" t="inlineStr">
        <is>
          <t>São Paulo</t>
        </is>
      </c>
      <c r="N66" s="77" t="n">
        <v>3.1</v>
      </c>
      <c r="O66" s="77">
        <f>IF(K66="","Ativo","Desligado")</f>
        <v/>
      </c>
      <c r="P66" s="77">
        <f>ROUND((IF(K66="",Calc!$B$7,K66)-J66)/365.25,1)</f>
        <v/>
      </c>
      <c r="Q66" s="77">
        <f>IF(OR(H66="Coordenação",H66="Gerência",H66="Diretoria"),"Sim","Não")</f>
        <v/>
      </c>
    </row>
    <row r="67">
      <c r="A67" s="77" t="inlineStr">
        <is>
          <t>M1066</t>
        </is>
      </c>
      <c r="B67" s="77" t="inlineStr">
        <is>
          <t>Nicolas Almeida</t>
        </is>
      </c>
      <c r="C67" s="77" t="inlineStr">
        <is>
          <t>M</t>
        </is>
      </c>
      <c r="D67" s="78" t="n">
        <v>34492</v>
      </c>
      <c r="E67" s="77">
        <f>DATEDIF(D67,IF(K67="",Calc!$B$7,K67),"y")</f>
        <v/>
      </c>
      <c r="F67" s="77">
        <f>LOOKUP(E67,{0,25,35,45,55},{"18-24","25-34","35-44","45-54","55+"})</f>
        <v/>
      </c>
      <c r="G67" s="77" t="inlineStr">
        <is>
          <t>Operações</t>
        </is>
      </c>
      <c r="H67" s="77" t="inlineStr">
        <is>
          <t>Assistente</t>
        </is>
      </c>
      <c r="I67" s="79" t="n">
        <v>2550</v>
      </c>
      <c r="J67" s="78" t="n">
        <v>43175</v>
      </c>
      <c r="K67" s="78" t="n"/>
      <c r="L67" s="77" t="inlineStr"/>
      <c r="M67" s="77" t="inlineStr">
        <is>
          <t>Belo Horizonte</t>
        </is>
      </c>
      <c r="N67" s="77" t="n">
        <v>3.9</v>
      </c>
      <c r="O67" s="77">
        <f>IF(K67="","Ativo","Desligado")</f>
        <v/>
      </c>
      <c r="P67" s="77">
        <f>ROUND((IF(K67="",Calc!$B$7,K67)-J67)/365.25,1)</f>
        <v/>
      </c>
      <c r="Q67" s="77">
        <f>IF(OR(H67="Coordenação",H67="Gerência",H67="Diretoria"),"Sim","Não")</f>
        <v/>
      </c>
    </row>
    <row r="68">
      <c r="A68" s="77" t="inlineStr">
        <is>
          <t>M1067</t>
        </is>
      </c>
      <c r="B68" s="77" t="inlineStr">
        <is>
          <t>Gustavo Pereira</t>
        </is>
      </c>
      <c r="C68" s="77" t="inlineStr">
        <is>
          <t>M</t>
        </is>
      </c>
      <c r="D68" s="78" t="n">
        <v>28806</v>
      </c>
      <c r="E68" s="77">
        <f>DATEDIF(D68,IF(K68="",Calc!$B$7,K68),"y")</f>
        <v/>
      </c>
      <c r="F68" s="77">
        <f>LOOKUP(E68,{0,25,35,45,55},{"18-24","25-34","35-44","45-54","55+"})</f>
        <v/>
      </c>
      <c r="G68" s="77" t="inlineStr">
        <is>
          <t>Comercial</t>
        </is>
      </c>
      <c r="H68" s="77" t="inlineStr">
        <is>
          <t>Assistente</t>
        </is>
      </c>
      <c r="I68" s="79" t="n">
        <v>3300</v>
      </c>
      <c r="J68" s="78" t="n">
        <v>43541</v>
      </c>
      <c r="K68" s="78" t="n">
        <v>45884</v>
      </c>
      <c r="L68" s="77" t="inlineStr">
        <is>
          <t>Fim de contrato</t>
        </is>
      </c>
      <c r="M68" s="77" t="inlineStr">
        <is>
          <t>São Paulo</t>
        </is>
      </c>
      <c r="N68" s="77" t="n">
        <v>4.8</v>
      </c>
      <c r="O68" s="77">
        <f>IF(K68="","Ativo","Desligado")</f>
        <v/>
      </c>
      <c r="P68" s="77">
        <f>ROUND((IF(K68="",Calc!$B$7,K68)-J68)/365.25,1)</f>
        <v/>
      </c>
      <c r="Q68" s="77">
        <f>IF(OR(H68="Coordenação",H68="Gerência",H68="Diretoria"),"Sim","Não")</f>
        <v/>
      </c>
    </row>
    <row r="69">
      <c r="A69" s="77" t="inlineStr">
        <is>
          <t>M1068</t>
        </is>
      </c>
      <c r="B69" s="77" t="inlineStr">
        <is>
          <t>Bruno Almeida</t>
        </is>
      </c>
      <c r="C69" s="77" t="inlineStr">
        <is>
          <t>M</t>
        </is>
      </c>
      <c r="D69" s="78" t="n">
        <v>29500</v>
      </c>
      <c r="E69" s="77">
        <f>DATEDIF(D69,IF(K69="",Calc!$B$7,K69),"y")</f>
        <v/>
      </c>
      <c r="F69" s="77">
        <f>LOOKUP(E69,{0,25,35,45,55},{"18-24","25-34","35-44","45-54","55+"})</f>
        <v/>
      </c>
      <c r="G69" s="77" t="inlineStr">
        <is>
          <t>Comercial</t>
        </is>
      </c>
      <c r="H69" s="77" t="inlineStr">
        <is>
          <t>Assistente</t>
        </is>
      </c>
      <c r="I69" s="79" t="n">
        <v>3350</v>
      </c>
      <c r="J69" s="78" t="n">
        <v>41499</v>
      </c>
      <c r="K69" s="78" t="n"/>
      <c r="L69" s="77" t="inlineStr"/>
      <c r="M69" s="77" t="inlineStr">
        <is>
          <t>Curitiba</t>
        </is>
      </c>
      <c r="N69" s="77" t="n">
        <v>3.9</v>
      </c>
      <c r="O69" s="77">
        <f>IF(K69="","Ativo","Desligado")</f>
        <v/>
      </c>
      <c r="P69" s="77">
        <f>ROUND((IF(K69="",Calc!$B$7,K69)-J69)/365.25,1)</f>
        <v/>
      </c>
      <c r="Q69" s="77">
        <f>IF(OR(H69="Coordenação",H69="Gerência",H69="Diretoria"),"Sim","Não")</f>
        <v/>
      </c>
    </row>
    <row r="70">
      <c r="A70" s="77" t="inlineStr">
        <is>
          <t>M1069</t>
        </is>
      </c>
      <c r="B70" s="77" t="inlineStr">
        <is>
          <t>Mariana Souza</t>
        </is>
      </c>
      <c r="C70" s="77" t="inlineStr">
        <is>
          <t>F</t>
        </is>
      </c>
      <c r="D70" s="78" t="n">
        <v>29055</v>
      </c>
      <c r="E70" s="77">
        <f>DATEDIF(D70,IF(K70="",Calc!$B$7,K70),"y")</f>
        <v/>
      </c>
      <c r="F70" s="77">
        <f>LOOKUP(E70,{0,25,35,45,55},{"18-24","25-34","35-44","45-54","55+"})</f>
        <v/>
      </c>
      <c r="G70" s="77" t="inlineStr">
        <is>
          <t>Comercial</t>
        </is>
      </c>
      <c r="H70" s="77" t="inlineStr">
        <is>
          <t>Especialista</t>
        </is>
      </c>
      <c r="I70" s="79" t="n">
        <v>6700</v>
      </c>
      <c r="J70" s="78" t="n">
        <v>42665</v>
      </c>
      <c r="K70" s="78" t="n"/>
      <c r="L70" s="77" t="inlineStr"/>
      <c r="M70" s="77" t="inlineStr">
        <is>
          <t>Curitiba</t>
        </is>
      </c>
      <c r="N70" s="77" t="n">
        <v>4.2</v>
      </c>
      <c r="O70" s="77">
        <f>IF(K70="","Ativo","Desligado")</f>
        <v/>
      </c>
      <c r="P70" s="77">
        <f>ROUND((IF(K70="",Calc!$B$7,K70)-J70)/365.25,1)</f>
        <v/>
      </c>
      <c r="Q70" s="77">
        <f>IF(OR(H70="Coordenação",H70="Gerência",H70="Diretoria"),"Sim","Não")</f>
        <v/>
      </c>
    </row>
    <row r="71">
      <c r="A71" s="77" t="inlineStr">
        <is>
          <t>M1070</t>
        </is>
      </c>
      <c r="B71" s="77" t="inlineStr">
        <is>
          <t>Vanessa Santos</t>
        </is>
      </c>
      <c r="C71" s="77" t="inlineStr">
        <is>
          <t>F</t>
        </is>
      </c>
      <c r="D71" s="78" t="n">
        <v>33091</v>
      </c>
      <c r="E71" s="77">
        <f>DATEDIF(D71,IF(K71="",Calc!$B$7,K71),"y")</f>
        <v/>
      </c>
      <c r="F71" s="77">
        <f>LOOKUP(E71,{0,25,35,45,55},{"18-24","25-34","35-44","45-54","55+"})</f>
        <v/>
      </c>
      <c r="G71" s="77" t="inlineStr">
        <is>
          <t>Comercial</t>
        </is>
      </c>
      <c r="H71" s="77" t="inlineStr">
        <is>
          <t>Gerência</t>
        </is>
      </c>
      <c r="I71" s="79" t="n">
        <v>12750</v>
      </c>
      <c r="J71" s="78" t="n">
        <v>42382</v>
      </c>
      <c r="K71" s="78" t="n">
        <v>45724</v>
      </c>
      <c r="L71" s="77" t="inlineStr">
        <is>
          <t>Dispensa</t>
        </is>
      </c>
      <c r="M71" s="77" t="inlineStr">
        <is>
          <t>São Paulo</t>
        </is>
      </c>
      <c r="N71" s="77" t="n">
        <v>3</v>
      </c>
      <c r="O71" s="77">
        <f>IF(K71="","Ativo","Desligado")</f>
        <v/>
      </c>
      <c r="P71" s="77">
        <f>ROUND((IF(K71="",Calc!$B$7,K71)-J71)/365.25,1)</f>
        <v/>
      </c>
      <c r="Q71" s="77">
        <f>IF(OR(H71="Coordenação",H71="Gerência",H71="Diretoria"),"Sim","Não")</f>
        <v/>
      </c>
    </row>
    <row r="72">
      <c r="A72" s="77" t="inlineStr">
        <is>
          <t>M1071</t>
        </is>
      </c>
      <c r="B72" s="77" t="inlineStr">
        <is>
          <t>Patrícia Pereira</t>
        </is>
      </c>
      <c r="C72" s="77" t="inlineStr">
        <is>
          <t>F</t>
        </is>
      </c>
      <c r="D72" s="78" t="n">
        <v>35157</v>
      </c>
      <c r="E72" s="77">
        <f>DATEDIF(D72,IF(K72="",Calc!$B$7,K72),"y")</f>
        <v/>
      </c>
      <c r="F72" s="77">
        <f>LOOKUP(E72,{0,25,35,45,55},{"18-24","25-34","35-44","45-54","55+"})</f>
        <v/>
      </c>
      <c r="G72" s="77" t="inlineStr">
        <is>
          <t>RH</t>
        </is>
      </c>
      <c r="H72" s="77" t="inlineStr">
        <is>
          <t>Especialista</t>
        </is>
      </c>
      <c r="I72" s="79" t="n">
        <v>7200</v>
      </c>
      <c r="J72" s="78" t="n">
        <v>41428</v>
      </c>
      <c r="K72" s="78" t="n"/>
      <c r="L72" s="77" t="inlineStr"/>
      <c r="M72" s="77" t="inlineStr">
        <is>
          <t>Belo Horizonte</t>
        </is>
      </c>
      <c r="N72" s="77" t="n">
        <v>3.5</v>
      </c>
      <c r="O72" s="77">
        <f>IF(K72="","Ativo","Desligado")</f>
        <v/>
      </c>
      <c r="P72" s="77">
        <f>ROUND((IF(K72="",Calc!$B$7,K72)-J72)/365.25,1)</f>
        <v/>
      </c>
      <c r="Q72" s="77">
        <f>IF(OR(H72="Coordenação",H72="Gerência",H72="Diretoria"),"Sim","Não")</f>
        <v/>
      </c>
    </row>
    <row r="73">
      <c r="A73" s="77" t="inlineStr">
        <is>
          <t>M1072</t>
        </is>
      </c>
      <c r="B73" s="77" t="inlineStr">
        <is>
          <t>Otávio Ribeiro</t>
        </is>
      </c>
      <c r="C73" s="77" t="inlineStr">
        <is>
          <t>M</t>
        </is>
      </c>
      <c r="D73" s="78" t="n">
        <v>36084</v>
      </c>
      <c r="E73" s="77">
        <f>DATEDIF(D73,IF(K73="",Calc!$B$7,K73),"y")</f>
        <v/>
      </c>
      <c r="F73" s="77">
        <f>LOOKUP(E73,{0,25,35,45,55},{"18-24","25-34","35-44","45-54","55+"})</f>
        <v/>
      </c>
      <c r="G73" s="77" t="inlineStr">
        <is>
          <t>Operações</t>
        </is>
      </c>
      <c r="H73" s="77" t="inlineStr">
        <is>
          <t>Coordenação</t>
        </is>
      </c>
      <c r="I73" s="79" t="n">
        <v>6700</v>
      </c>
      <c r="J73" s="78" t="n">
        <v>45434</v>
      </c>
      <c r="K73" s="78" t="n"/>
      <c r="L73" s="77" t="inlineStr"/>
      <c r="M73" s="77" t="inlineStr">
        <is>
          <t>São Paulo</t>
        </is>
      </c>
      <c r="N73" s="77" t="n">
        <v>2.9</v>
      </c>
      <c r="O73" s="77">
        <f>IF(K73="","Ativo","Desligado")</f>
        <v/>
      </c>
      <c r="P73" s="77">
        <f>ROUND((IF(K73="",Calc!$B$7,K73)-J73)/365.25,1)</f>
        <v/>
      </c>
      <c r="Q73" s="77">
        <f>IF(OR(H73="Coordenação",H73="Gerência",H73="Diretoria"),"Sim","Não")</f>
        <v/>
      </c>
    </row>
    <row r="74">
      <c r="A74" s="77" t="inlineStr">
        <is>
          <t>M1073</t>
        </is>
      </c>
      <c r="B74" s="77" t="inlineStr">
        <is>
          <t>Felipe Dias</t>
        </is>
      </c>
      <c r="C74" s="77" t="inlineStr">
        <is>
          <t>M</t>
        </is>
      </c>
      <c r="D74" s="78" t="n">
        <v>26314</v>
      </c>
      <c r="E74" s="77">
        <f>DATEDIF(D74,IF(K74="",Calc!$B$7,K74),"y")</f>
        <v/>
      </c>
      <c r="F74" s="77">
        <f>LOOKUP(E74,{0,25,35,45,55},{"18-24","25-34","35-44","45-54","55+"})</f>
        <v/>
      </c>
      <c r="G74" s="77" t="inlineStr">
        <is>
          <t>Marketing</t>
        </is>
      </c>
      <c r="H74" s="77" t="inlineStr">
        <is>
          <t>Analista</t>
        </is>
      </c>
      <c r="I74" s="79" t="n">
        <v>4600</v>
      </c>
      <c r="J74" s="78" t="n">
        <v>43943</v>
      </c>
      <c r="K74" s="78" t="n"/>
      <c r="L74" s="77" t="inlineStr"/>
      <c r="M74" s="77" t="inlineStr">
        <is>
          <t>Curitiba</t>
        </is>
      </c>
      <c r="N74" s="77" t="n">
        <v>5</v>
      </c>
      <c r="O74" s="77">
        <f>IF(K74="","Ativo","Desligado")</f>
        <v/>
      </c>
      <c r="P74" s="77">
        <f>ROUND((IF(K74="",Calc!$B$7,K74)-J74)/365.25,1)</f>
        <v/>
      </c>
      <c r="Q74" s="77">
        <f>IF(OR(H74="Coordenação",H74="Gerência",H74="Diretoria"),"Sim","Não")</f>
        <v/>
      </c>
    </row>
    <row r="75">
      <c r="A75" s="77" t="inlineStr">
        <is>
          <t>M1074</t>
        </is>
      </c>
      <c r="B75" s="77" t="inlineStr">
        <is>
          <t>Patrícia Soares</t>
        </is>
      </c>
      <c r="C75" s="77" t="inlineStr">
        <is>
          <t>F</t>
        </is>
      </c>
      <c r="D75" s="78" t="n">
        <v>29268</v>
      </c>
      <c r="E75" s="77">
        <f>DATEDIF(D75,IF(K75="",Calc!$B$7,K75),"y")</f>
        <v/>
      </c>
      <c r="F75" s="77">
        <f>LOOKUP(E75,{0,25,35,45,55},{"18-24","25-34","35-44","45-54","55+"})</f>
        <v/>
      </c>
      <c r="G75" s="77" t="inlineStr">
        <is>
          <t>Comercial</t>
        </is>
      </c>
      <c r="H75" s="77" t="inlineStr">
        <is>
          <t>Analista</t>
        </is>
      </c>
      <c r="I75" s="79" t="n">
        <v>4050</v>
      </c>
      <c r="J75" s="78" t="n">
        <v>43888</v>
      </c>
      <c r="K75" s="78" t="n">
        <v>46190</v>
      </c>
      <c r="L75" s="77" t="inlineStr">
        <is>
          <t>Pedido de demissão</t>
        </is>
      </c>
      <c r="M75" s="77" t="inlineStr">
        <is>
          <t>São Paulo</t>
        </is>
      </c>
      <c r="N75" s="77" t="n">
        <v>3.8</v>
      </c>
      <c r="O75" s="77">
        <f>IF(K75="","Ativo","Desligado")</f>
        <v/>
      </c>
      <c r="P75" s="77">
        <f>ROUND((IF(K75="",Calc!$B$7,K75)-J75)/365.25,1)</f>
        <v/>
      </c>
      <c r="Q75" s="77">
        <f>IF(OR(H75="Coordenação",H75="Gerência",H75="Diretoria"),"Sim","Não")</f>
        <v/>
      </c>
    </row>
    <row r="76">
      <c r="A76" s="77" t="inlineStr">
        <is>
          <t>M1075</t>
        </is>
      </c>
      <c r="B76" s="77" t="inlineStr">
        <is>
          <t>Isabela Gomes</t>
        </is>
      </c>
      <c r="C76" s="77" t="inlineStr">
        <is>
          <t>F</t>
        </is>
      </c>
      <c r="D76" s="78" t="n">
        <v>35993</v>
      </c>
      <c r="E76" s="77">
        <f>DATEDIF(D76,IF(K76="",Calc!$B$7,K76),"y")</f>
        <v/>
      </c>
      <c r="F76" s="77">
        <f>LOOKUP(E76,{0,25,35,45,55},{"18-24","25-34","35-44","45-54","55+"})</f>
        <v/>
      </c>
      <c r="G76" s="77" t="inlineStr">
        <is>
          <t>Operações</t>
        </is>
      </c>
      <c r="H76" s="77" t="inlineStr">
        <is>
          <t>Assistente</t>
        </is>
      </c>
      <c r="I76" s="79" t="n">
        <v>2400</v>
      </c>
      <c r="J76" s="78" t="n">
        <v>43128</v>
      </c>
      <c r="K76" s="78" t="n"/>
      <c r="L76" s="77" t="inlineStr"/>
      <c r="M76" s="77" t="inlineStr">
        <is>
          <t>Curitiba</t>
        </is>
      </c>
      <c r="N76" s="77" t="n">
        <v>2.8</v>
      </c>
      <c r="O76" s="77">
        <f>IF(K76="","Ativo","Desligado")</f>
        <v/>
      </c>
      <c r="P76" s="77">
        <f>ROUND((IF(K76="",Calc!$B$7,K76)-J76)/365.25,1)</f>
        <v/>
      </c>
      <c r="Q76" s="77">
        <f>IF(OR(H76="Coordenação",H76="Gerência",H76="Diretoria"),"Sim","Não")</f>
        <v/>
      </c>
    </row>
    <row r="77">
      <c r="A77" s="77" t="inlineStr">
        <is>
          <t>M1076</t>
        </is>
      </c>
      <c r="B77" s="77" t="inlineStr">
        <is>
          <t>Mariana Rocha</t>
        </is>
      </c>
      <c r="C77" s="77" t="inlineStr">
        <is>
          <t>F</t>
        </is>
      </c>
      <c r="D77" s="78" t="n">
        <v>27462</v>
      </c>
      <c r="E77" s="77">
        <f>DATEDIF(D77,IF(K77="",Calc!$B$7,K77),"y")</f>
        <v/>
      </c>
      <c r="F77" s="77">
        <f>LOOKUP(E77,{0,25,35,45,55},{"18-24","25-34","35-44","45-54","55+"})</f>
        <v/>
      </c>
      <c r="G77" s="77" t="inlineStr">
        <is>
          <t>Tecnologia</t>
        </is>
      </c>
      <c r="H77" s="77" t="inlineStr">
        <is>
          <t>Assistente</t>
        </is>
      </c>
      <c r="I77" s="79" t="n">
        <v>5450</v>
      </c>
      <c r="J77" s="78" t="n">
        <v>41191</v>
      </c>
      <c r="K77" s="78" t="n"/>
      <c r="L77" s="77" t="inlineStr"/>
      <c r="M77" s="77" t="inlineStr">
        <is>
          <t>São Paulo</t>
        </is>
      </c>
      <c r="N77" s="77" t="n">
        <v>4.9</v>
      </c>
      <c r="O77" s="77">
        <f>IF(K77="","Ativo","Desligado")</f>
        <v/>
      </c>
      <c r="P77" s="77">
        <f>ROUND((IF(K77="",Calc!$B$7,K77)-J77)/365.25,1)</f>
        <v/>
      </c>
      <c r="Q77" s="77">
        <f>IF(OR(H77="Coordenação",H77="Gerência",H77="Diretoria"),"Sim","Não")</f>
        <v/>
      </c>
    </row>
    <row r="78">
      <c r="A78" s="77" t="inlineStr">
        <is>
          <t>M1077</t>
        </is>
      </c>
      <c r="B78" s="77" t="inlineStr">
        <is>
          <t>Patrícia Nunes</t>
        </is>
      </c>
      <c r="C78" s="77" t="inlineStr">
        <is>
          <t>F</t>
        </is>
      </c>
      <c r="D78" s="78" t="n">
        <v>36976</v>
      </c>
      <c r="E78" s="77">
        <f>DATEDIF(D78,IF(K78="",Calc!$B$7,K78),"y")</f>
        <v/>
      </c>
      <c r="F78" s="77">
        <f>LOOKUP(E78,{0,25,35,45,55},{"18-24","25-34","35-44","45-54","55+"})</f>
        <v/>
      </c>
      <c r="G78" s="77" t="inlineStr">
        <is>
          <t>Operações</t>
        </is>
      </c>
      <c r="H78" s="77" t="inlineStr">
        <is>
          <t>Analista</t>
        </is>
      </c>
      <c r="I78" s="79" t="n">
        <v>3150</v>
      </c>
      <c r="J78" s="78" t="n">
        <v>43112</v>
      </c>
      <c r="K78" s="78" t="n"/>
      <c r="L78" s="77" t="inlineStr"/>
      <c r="M78" s="77" t="inlineStr">
        <is>
          <t>Recife</t>
        </is>
      </c>
      <c r="N78" s="77" t="n">
        <v>3.9</v>
      </c>
      <c r="O78" s="77">
        <f>IF(K78="","Ativo","Desligado")</f>
        <v/>
      </c>
      <c r="P78" s="77">
        <f>ROUND((IF(K78="",Calc!$B$7,K78)-J78)/365.25,1)</f>
        <v/>
      </c>
      <c r="Q78" s="77">
        <f>IF(OR(H78="Coordenação",H78="Gerência",H78="Diretoria"),"Sim","Não")</f>
        <v/>
      </c>
    </row>
    <row r="79">
      <c r="A79" s="77" t="inlineStr">
        <is>
          <t>M1078</t>
        </is>
      </c>
      <c r="B79" s="77" t="inlineStr">
        <is>
          <t>Leonardo Almeida</t>
        </is>
      </c>
      <c r="C79" s="77" t="inlineStr">
        <is>
          <t>M</t>
        </is>
      </c>
      <c r="D79" s="78" t="n">
        <v>28492</v>
      </c>
      <c r="E79" s="77">
        <f>DATEDIF(D79,IF(K79="",Calc!$B$7,K79),"y")</f>
        <v/>
      </c>
      <c r="F79" s="77">
        <f>LOOKUP(E79,{0,25,35,45,55},{"18-24","25-34","35-44","45-54","55+"})</f>
        <v/>
      </c>
      <c r="G79" s="77" t="inlineStr">
        <is>
          <t>Tecnologia</t>
        </is>
      </c>
      <c r="H79" s="77" t="inlineStr">
        <is>
          <t>Analista</t>
        </is>
      </c>
      <c r="I79" s="79" t="n">
        <v>8950</v>
      </c>
      <c r="J79" s="78" t="n">
        <v>44024</v>
      </c>
      <c r="K79" s="78" t="n"/>
      <c r="L79" s="77" t="inlineStr"/>
      <c r="M79" s="77" t="inlineStr">
        <is>
          <t>São Paulo</t>
        </is>
      </c>
      <c r="N79" s="77" t="n">
        <v>4.7</v>
      </c>
      <c r="O79" s="77">
        <f>IF(K79="","Ativo","Desligado")</f>
        <v/>
      </c>
      <c r="P79" s="77">
        <f>ROUND((IF(K79="",Calc!$B$7,K79)-J79)/365.25,1)</f>
        <v/>
      </c>
      <c r="Q79" s="77">
        <f>IF(OR(H79="Coordenação",H79="Gerência",H79="Diretoria"),"Sim","Não")</f>
        <v/>
      </c>
    </row>
    <row r="80">
      <c r="A80" s="77" t="inlineStr">
        <is>
          <t>M1079</t>
        </is>
      </c>
      <c r="B80" s="77" t="inlineStr">
        <is>
          <t>Rafael Ribeiro</t>
        </is>
      </c>
      <c r="C80" s="77" t="inlineStr">
        <is>
          <t>M</t>
        </is>
      </c>
      <c r="D80" s="78" t="n">
        <v>37261</v>
      </c>
      <c r="E80" s="77">
        <f>DATEDIF(D80,IF(K80="",Calc!$B$7,K80),"y")</f>
        <v/>
      </c>
      <c r="F80" s="77">
        <f>LOOKUP(E80,{0,25,35,45,55},{"18-24","25-34","35-44","45-54","55+"})</f>
        <v/>
      </c>
      <c r="G80" s="77" t="inlineStr">
        <is>
          <t>Operações</t>
        </is>
      </c>
      <c r="H80" s="77" t="inlineStr">
        <is>
          <t>Especialista</t>
        </is>
      </c>
      <c r="I80" s="79" t="n">
        <v>4400</v>
      </c>
      <c r="J80" s="78" t="n">
        <v>43217</v>
      </c>
      <c r="K80" s="78" t="n"/>
      <c r="L80" s="77" t="inlineStr"/>
      <c r="M80" s="77" t="inlineStr">
        <is>
          <t>São Paulo</t>
        </is>
      </c>
      <c r="N80" s="77" t="n">
        <v>3.9</v>
      </c>
      <c r="O80" s="77">
        <f>IF(K80="","Ativo","Desligado")</f>
        <v/>
      </c>
      <c r="P80" s="77">
        <f>ROUND((IF(K80="",Calc!$B$7,K80)-J80)/365.25,1)</f>
        <v/>
      </c>
      <c r="Q80" s="77">
        <f>IF(OR(H80="Coordenação",H80="Gerência",H80="Diretoria"),"Sim","Não")</f>
        <v/>
      </c>
    </row>
    <row r="81">
      <c r="A81" s="77" t="inlineStr">
        <is>
          <t>M1080</t>
        </is>
      </c>
      <c r="B81" s="77" t="inlineStr">
        <is>
          <t>Isabela Lima</t>
        </is>
      </c>
      <c r="C81" s="77" t="inlineStr">
        <is>
          <t>F</t>
        </is>
      </c>
      <c r="D81" s="78" t="n">
        <v>38098</v>
      </c>
      <c r="E81" s="77">
        <f>DATEDIF(D81,IF(K81="",Calc!$B$7,K81),"y")</f>
        <v/>
      </c>
      <c r="F81" s="77">
        <f>LOOKUP(E81,{0,25,35,45,55},{"18-24","25-34","35-44","45-54","55+"})</f>
        <v/>
      </c>
      <c r="G81" s="77" t="inlineStr">
        <is>
          <t>Comercial</t>
        </is>
      </c>
      <c r="H81" s="77" t="inlineStr">
        <is>
          <t>Assistente</t>
        </is>
      </c>
      <c r="I81" s="79" t="n">
        <v>3350</v>
      </c>
      <c r="J81" s="78" t="n">
        <v>42567</v>
      </c>
      <c r="K81" s="78" t="n">
        <v>45737</v>
      </c>
      <c r="L81" s="77" t="inlineStr">
        <is>
          <t>Dispensa</t>
        </is>
      </c>
      <c r="M81" s="77" t="inlineStr">
        <is>
          <t>Belo Horizonte</t>
        </is>
      </c>
      <c r="N81" s="77" t="n">
        <v>4.4</v>
      </c>
      <c r="O81" s="77">
        <f>IF(K81="","Ativo","Desligado")</f>
        <v/>
      </c>
      <c r="P81" s="77">
        <f>ROUND((IF(K81="",Calc!$B$7,K81)-J81)/365.25,1)</f>
        <v/>
      </c>
      <c r="Q81" s="77">
        <f>IF(OR(H81="Coordenação",H81="Gerência",H81="Diretoria"),"Sim","Não")</f>
        <v/>
      </c>
    </row>
    <row r="82">
      <c r="A82" s="77" t="inlineStr">
        <is>
          <t>M1081</t>
        </is>
      </c>
      <c r="B82" s="77" t="inlineStr">
        <is>
          <t>Vinícius Ferreira</t>
        </is>
      </c>
      <c r="C82" s="77" t="inlineStr">
        <is>
          <t>M</t>
        </is>
      </c>
      <c r="D82" s="78" t="n">
        <v>31840</v>
      </c>
      <c r="E82" s="77">
        <f>DATEDIF(D82,IF(K82="",Calc!$B$7,K82),"y")</f>
        <v/>
      </c>
      <c r="F82" s="77">
        <f>LOOKUP(E82,{0,25,35,45,55},{"18-24","25-34","35-44","45-54","55+"})</f>
        <v/>
      </c>
      <c r="G82" s="77" t="inlineStr">
        <is>
          <t>Tecnologia</t>
        </is>
      </c>
      <c r="H82" s="77" t="inlineStr">
        <is>
          <t>Analista</t>
        </is>
      </c>
      <c r="I82" s="79" t="n">
        <v>8200</v>
      </c>
      <c r="J82" s="78" t="n">
        <v>43751</v>
      </c>
      <c r="K82" s="78" t="n"/>
      <c r="L82" s="77" t="inlineStr"/>
      <c r="M82" s="77" t="inlineStr">
        <is>
          <t>Belo Horizonte</t>
        </is>
      </c>
      <c r="N82" s="77" t="n">
        <v>3.4</v>
      </c>
      <c r="O82" s="77">
        <f>IF(K82="","Ativo","Desligado")</f>
        <v/>
      </c>
      <c r="P82" s="77">
        <f>ROUND((IF(K82="",Calc!$B$7,K82)-J82)/365.25,1)</f>
        <v/>
      </c>
      <c r="Q82" s="77">
        <f>IF(OR(H82="Coordenação",H82="Gerência",H82="Diretoria"),"Sim","Não")</f>
        <v/>
      </c>
    </row>
    <row r="83">
      <c r="A83" s="77" t="inlineStr">
        <is>
          <t>M1082</t>
        </is>
      </c>
      <c r="B83" s="77" t="inlineStr">
        <is>
          <t>Henrique Silva</t>
        </is>
      </c>
      <c r="C83" s="77" t="inlineStr">
        <is>
          <t>M</t>
        </is>
      </c>
      <c r="D83" s="78" t="n">
        <v>33486</v>
      </c>
      <c r="E83" s="77">
        <f>DATEDIF(D83,IF(K83="",Calc!$B$7,K83),"y")</f>
        <v/>
      </c>
      <c r="F83" s="77">
        <f>LOOKUP(E83,{0,25,35,45,55},{"18-24","25-34","35-44","45-54","55+"})</f>
        <v/>
      </c>
      <c r="G83" s="77" t="inlineStr">
        <is>
          <t>Tecnologia</t>
        </is>
      </c>
      <c r="H83" s="77" t="inlineStr">
        <is>
          <t>Analista</t>
        </is>
      </c>
      <c r="I83" s="79" t="n">
        <v>7100</v>
      </c>
      <c r="J83" s="78" t="n">
        <v>41222</v>
      </c>
      <c r="K83" s="78" t="n"/>
      <c r="L83" s="77" t="inlineStr"/>
      <c r="M83" s="77" t="inlineStr">
        <is>
          <t>Curitiba</t>
        </is>
      </c>
      <c r="N83" s="77" t="n">
        <v>2.9</v>
      </c>
      <c r="O83" s="77">
        <f>IF(K83="","Ativo","Desligado")</f>
        <v/>
      </c>
      <c r="P83" s="77">
        <f>ROUND((IF(K83="",Calc!$B$7,K83)-J83)/365.25,1)</f>
        <v/>
      </c>
      <c r="Q83" s="77">
        <f>IF(OR(H83="Coordenação",H83="Gerência",H83="Diretoria"),"Sim","Não")</f>
        <v/>
      </c>
    </row>
    <row r="84">
      <c r="A84" s="77" t="inlineStr">
        <is>
          <t>M1083</t>
        </is>
      </c>
      <c r="B84" s="77" t="inlineStr">
        <is>
          <t>Carolina Rodrigues</t>
        </is>
      </c>
      <c r="C84" s="77" t="inlineStr">
        <is>
          <t>F</t>
        </is>
      </c>
      <c r="D84" s="78" t="n">
        <v>31824</v>
      </c>
      <c r="E84" s="77">
        <f>DATEDIF(D84,IF(K84="",Calc!$B$7,K84),"y")</f>
        <v/>
      </c>
      <c r="F84" s="77">
        <f>LOOKUP(E84,{0,25,35,45,55},{"18-24","25-34","35-44","45-54","55+"})</f>
        <v/>
      </c>
      <c r="G84" s="77" t="inlineStr">
        <is>
          <t>RH</t>
        </is>
      </c>
      <c r="H84" s="77" t="inlineStr">
        <is>
          <t>Analista</t>
        </is>
      </c>
      <c r="I84" s="79" t="n">
        <v>5500</v>
      </c>
      <c r="J84" s="78" t="n">
        <v>41642</v>
      </c>
      <c r="K84" s="78" t="n"/>
      <c r="L84" s="77" t="inlineStr"/>
      <c r="M84" s="77" t="inlineStr">
        <is>
          <t>São Paulo</t>
        </is>
      </c>
      <c r="N84" s="77" t="n">
        <v>4.6</v>
      </c>
      <c r="O84" s="77">
        <f>IF(K84="","Ativo","Desligado")</f>
        <v/>
      </c>
      <c r="P84" s="77">
        <f>ROUND((IF(K84="",Calc!$B$7,K84)-J84)/365.25,1)</f>
        <v/>
      </c>
      <c r="Q84" s="77">
        <f>IF(OR(H84="Coordenação",H84="Gerência",H84="Diretoria"),"Sim","Não")</f>
        <v/>
      </c>
    </row>
    <row r="85">
      <c r="A85" s="77" t="inlineStr">
        <is>
          <t>M1084</t>
        </is>
      </c>
      <c r="B85" s="77" t="inlineStr">
        <is>
          <t>Yasmin Alves</t>
        </is>
      </c>
      <c r="C85" s="77" t="inlineStr">
        <is>
          <t>F</t>
        </is>
      </c>
      <c r="D85" s="78" t="n">
        <v>31811</v>
      </c>
      <c r="E85" s="77">
        <f>DATEDIF(D85,IF(K85="",Calc!$B$7,K85),"y")</f>
        <v/>
      </c>
      <c r="F85" s="77">
        <f>LOOKUP(E85,{0,25,35,45,55},{"18-24","25-34","35-44","45-54","55+"})</f>
        <v/>
      </c>
      <c r="G85" s="77" t="inlineStr">
        <is>
          <t>Comercial</t>
        </is>
      </c>
      <c r="H85" s="77" t="inlineStr">
        <is>
          <t>Analista</t>
        </is>
      </c>
      <c r="I85" s="79" t="n">
        <v>3700</v>
      </c>
      <c r="J85" s="78" t="n">
        <v>43061</v>
      </c>
      <c r="K85" s="78" t="n"/>
      <c r="L85" s="77" t="inlineStr"/>
      <c r="M85" s="77" t="inlineStr">
        <is>
          <t>Belo Horizonte</t>
        </is>
      </c>
      <c r="N85" s="77" t="n">
        <v>4.7</v>
      </c>
      <c r="O85" s="77">
        <f>IF(K85="","Ativo","Desligado")</f>
        <v/>
      </c>
      <c r="P85" s="77">
        <f>ROUND((IF(K85="",Calc!$B$7,K85)-J85)/365.25,1)</f>
        <v/>
      </c>
      <c r="Q85" s="77">
        <f>IF(OR(H85="Coordenação",H85="Gerência",H85="Diretoria"),"Sim","Não")</f>
        <v/>
      </c>
    </row>
    <row r="86">
      <c r="A86" s="77" t="inlineStr">
        <is>
          <t>M1085</t>
        </is>
      </c>
      <c r="B86" s="77" t="inlineStr">
        <is>
          <t>Isabela Costa</t>
        </is>
      </c>
      <c r="C86" s="77" t="inlineStr">
        <is>
          <t>F</t>
        </is>
      </c>
      <c r="D86" s="78" t="n">
        <v>35243</v>
      </c>
      <c r="E86" s="77">
        <f>DATEDIF(D86,IF(K86="",Calc!$B$7,K86),"y")</f>
        <v/>
      </c>
      <c r="F86" s="77">
        <f>LOOKUP(E86,{0,25,35,45,55},{"18-24","25-34","35-44","45-54","55+"})</f>
        <v/>
      </c>
      <c r="G86" s="77" t="inlineStr">
        <is>
          <t>Comercial</t>
        </is>
      </c>
      <c r="H86" s="77" t="inlineStr">
        <is>
          <t>Assistente</t>
        </is>
      </c>
      <c r="I86" s="79" t="n">
        <v>3050</v>
      </c>
      <c r="J86" s="78" t="n">
        <v>44703</v>
      </c>
      <c r="K86" s="78" t="n">
        <v>45663</v>
      </c>
      <c r="L86" s="77" t="inlineStr">
        <is>
          <t>Pedido de demissão</t>
        </is>
      </c>
      <c r="M86" s="77" t="inlineStr">
        <is>
          <t>São Paulo</t>
        </is>
      </c>
      <c r="N86" s="77" t="n">
        <v>2.9</v>
      </c>
      <c r="O86" s="77">
        <f>IF(K86="","Ativo","Desligado")</f>
        <v/>
      </c>
      <c r="P86" s="77">
        <f>ROUND((IF(K86="",Calc!$B$7,K86)-J86)/365.25,1)</f>
        <v/>
      </c>
      <c r="Q86" s="77">
        <f>IF(OR(H86="Coordenação",H86="Gerência",H86="Diretoria"),"Sim","Não")</f>
        <v/>
      </c>
    </row>
    <row r="87">
      <c r="A87" s="77" t="inlineStr">
        <is>
          <t>M1086</t>
        </is>
      </c>
      <c r="B87" s="77" t="inlineStr">
        <is>
          <t>Marcelo Ribeiro</t>
        </is>
      </c>
      <c r="C87" s="77" t="inlineStr">
        <is>
          <t>M</t>
        </is>
      </c>
      <c r="D87" s="78" t="n">
        <v>30845</v>
      </c>
      <c r="E87" s="77">
        <f>DATEDIF(D87,IF(K87="",Calc!$B$7,K87),"y")</f>
        <v/>
      </c>
      <c r="F87" s="77">
        <f>LOOKUP(E87,{0,25,35,45,55},{"18-24","25-34","35-44","45-54","55+"})</f>
        <v/>
      </c>
      <c r="G87" s="77" t="inlineStr">
        <is>
          <t>Marketing</t>
        </is>
      </c>
      <c r="H87" s="77" t="inlineStr">
        <is>
          <t>Gerência</t>
        </is>
      </c>
      <c r="I87" s="79" t="n">
        <v>16250</v>
      </c>
      <c r="J87" s="78" t="n">
        <v>43197</v>
      </c>
      <c r="K87" s="78" t="n"/>
      <c r="L87" s="77" t="inlineStr"/>
      <c r="M87" s="77" t="inlineStr">
        <is>
          <t>Belo Horizonte</t>
        </is>
      </c>
      <c r="N87" s="77" t="n">
        <v>4</v>
      </c>
      <c r="O87" s="77">
        <f>IF(K87="","Ativo","Desligado")</f>
        <v/>
      </c>
      <c r="P87" s="77">
        <f>ROUND((IF(K87="",Calc!$B$7,K87)-J87)/365.25,1)</f>
        <v/>
      </c>
      <c r="Q87" s="77">
        <f>IF(OR(H87="Coordenação",H87="Gerência",H87="Diretoria"),"Sim","Não")</f>
        <v/>
      </c>
    </row>
    <row r="88">
      <c r="A88" s="77" t="inlineStr">
        <is>
          <t>M1087</t>
        </is>
      </c>
      <c r="B88" s="77" t="inlineStr">
        <is>
          <t>Natália Rodrigues</t>
        </is>
      </c>
      <c r="C88" s="77" t="inlineStr">
        <is>
          <t>F</t>
        </is>
      </c>
      <c r="D88" s="78" t="n">
        <v>34536</v>
      </c>
      <c r="E88" s="77">
        <f>DATEDIF(D88,IF(K88="",Calc!$B$7,K88),"y")</f>
        <v/>
      </c>
      <c r="F88" s="77">
        <f>LOOKUP(E88,{0,25,35,45,55},{"18-24","25-34","35-44","45-54","55+"})</f>
        <v/>
      </c>
      <c r="G88" s="77" t="inlineStr">
        <is>
          <t>Comercial</t>
        </is>
      </c>
      <c r="H88" s="77" t="inlineStr">
        <is>
          <t>Assistente</t>
        </is>
      </c>
      <c r="I88" s="79" t="n">
        <v>3450</v>
      </c>
      <c r="J88" s="78" t="n">
        <v>45558</v>
      </c>
      <c r="K88" s="78" t="n">
        <v>45990</v>
      </c>
      <c r="L88" s="77" t="inlineStr">
        <is>
          <t>Pedido de demissão</t>
        </is>
      </c>
      <c r="M88" s="77" t="inlineStr">
        <is>
          <t>São Paulo</t>
        </is>
      </c>
      <c r="N88" s="77" t="n">
        <v>4.5</v>
      </c>
      <c r="O88" s="77">
        <f>IF(K88="","Ativo","Desligado")</f>
        <v/>
      </c>
      <c r="P88" s="77">
        <f>ROUND((IF(K88="",Calc!$B$7,K88)-J88)/365.25,1)</f>
        <v/>
      </c>
      <c r="Q88" s="77">
        <f>IF(OR(H88="Coordenação",H88="Gerência",H88="Diretoria"),"Sim","Não")</f>
        <v/>
      </c>
    </row>
    <row r="89">
      <c r="A89" s="77" t="inlineStr">
        <is>
          <t>M1088</t>
        </is>
      </c>
      <c r="B89" s="77" t="inlineStr">
        <is>
          <t>Diego Dias</t>
        </is>
      </c>
      <c r="C89" s="77" t="inlineStr">
        <is>
          <t>M</t>
        </is>
      </c>
      <c r="D89" s="78" t="n">
        <v>27141</v>
      </c>
      <c r="E89" s="77">
        <f>DATEDIF(D89,IF(K89="",Calc!$B$7,K89),"y")</f>
        <v/>
      </c>
      <c r="F89" s="77">
        <f>LOOKUP(E89,{0,25,35,45,55},{"18-24","25-34","35-44","45-54","55+"})</f>
        <v/>
      </c>
      <c r="G89" s="77" t="inlineStr">
        <is>
          <t>Operações</t>
        </is>
      </c>
      <c r="H89" s="77" t="inlineStr">
        <is>
          <t>Analista</t>
        </is>
      </c>
      <c r="I89" s="79" t="n">
        <v>3550</v>
      </c>
      <c r="J89" s="78" t="n">
        <v>40936</v>
      </c>
      <c r="K89" s="78" t="n"/>
      <c r="L89" s="77" t="inlineStr"/>
      <c r="M89" s="77" t="inlineStr">
        <is>
          <t>São Paulo</t>
        </is>
      </c>
      <c r="N89" s="77" t="n">
        <v>4.8</v>
      </c>
      <c r="O89" s="77">
        <f>IF(K89="","Ativo","Desligado")</f>
        <v/>
      </c>
      <c r="P89" s="77">
        <f>ROUND((IF(K89="",Calc!$B$7,K89)-J89)/365.25,1)</f>
        <v/>
      </c>
      <c r="Q89" s="77">
        <f>IF(OR(H89="Coordenação",H89="Gerência",H89="Diretoria"),"Sim","Não")</f>
        <v/>
      </c>
    </row>
    <row r="90">
      <c r="A90" s="77" t="inlineStr">
        <is>
          <t>M1089</t>
        </is>
      </c>
      <c r="B90" s="77" t="inlineStr">
        <is>
          <t>Carolina Santos</t>
        </is>
      </c>
      <c r="C90" s="77" t="inlineStr">
        <is>
          <t>F</t>
        </is>
      </c>
      <c r="D90" s="78" t="n">
        <v>32160</v>
      </c>
      <c r="E90" s="77">
        <f>DATEDIF(D90,IF(K90="",Calc!$B$7,K90),"y")</f>
        <v/>
      </c>
      <c r="F90" s="77">
        <f>LOOKUP(E90,{0,25,35,45,55},{"18-24","25-34","35-44","45-54","55+"})</f>
        <v/>
      </c>
      <c r="G90" s="77" t="inlineStr">
        <is>
          <t>Tecnologia</t>
        </is>
      </c>
      <c r="H90" s="77" t="inlineStr">
        <is>
          <t>Analista</t>
        </is>
      </c>
      <c r="I90" s="79" t="n">
        <v>8800</v>
      </c>
      <c r="J90" s="78" t="n">
        <v>43423</v>
      </c>
      <c r="K90" s="78" t="n"/>
      <c r="L90" s="77" t="inlineStr"/>
      <c r="M90" s="77" t="inlineStr">
        <is>
          <t>Recife</t>
        </is>
      </c>
      <c r="N90" s="77" t="n">
        <v>3.8</v>
      </c>
      <c r="O90" s="77">
        <f>IF(K90="","Ativo","Desligado")</f>
        <v/>
      </c>
      <c r="P90" s="77">
        <f>ROUND((IF(K90="",Calc!$B$7,K90)-J90)/365.25,1)</f>
        <v/>
      </c>
      <c r="Q90" s="77">
        <f>IF(OR(H90="Coordenação",H90="Gerência",H90="Diretoria"),"Sim","Não")</f>
        <v/>
      </c>
    </row>
    <row r="91">
      <c r="A91" s="77" t="inlineStr">
        <is>
          <t>M1090</t>
        </is>
      </c>
      <c r="B91" s="77" t="inlineStr">
        <is>
          <t>Pedro Barbosa</t>
        </is>
      </c>
      <c r="C91" s="77" t="inlineStr">
        <is>
          <t>M</t>
        </is>
      </c>
      <c r="D91" s="78" t="n">
        <v>34377</v>
      </c>
      <c r="E91" s="77">
        <f>DATEDIF(D91,IF(K91="",Calc!$B$7,K91),"y")</f>
        <v/>
      </c>
      <c r="F91" s="77">
        <f>LOOKUP(E91,{0,25,35,45,55},{"18-24","25-34","35-44","45-54","55+"})</f>
        <v/>
      </c>
      <c r="G91" s="77" t="inlineStr">
        <is>
          <t>Marketing</t>
        </is>
      </c>
      <c r="H91" s="77" t="inlineStr">
        <is>
          <t>Assistente</t>
        </is>
      </c>
      <c r="I91" s="79" t="n">
        <v>3900</v>
      </c>
      <c r="J91" s="78" t="n">
        <v>41711</v>
      </c>
      <c r="K91" s="78" t="n"/>
      <c r="L91" s="77" t="inlineStr"/>
      <c r="M91" s="77" t="inlineStr">
        <is>
          <t>São Paulo</t>
        </is>
      </c>
      <c r="N91" s="77" t="n">
        <v>3.5</v>
      </c>
      <c r="O91" s="77">
        <f>IF(K91="","Ativo","Desligado")</f>
        <v/>
      </c>
      <c r="P91" s="77">
        <f>ROUND((IF(K91="",Calc!$B$7,K91)-J91)/365.25,1)</f>
        <v/>
      </c>
      <c r="Q91" s="77">
        <f>IF(OR(H91="Coordenação",H91="Gerência",H91="Diretoria"),"Sim","Não")</f>
        <v/>
      </c>
    </row>
    <row r="92">
      <c r="A92" s="77" t="inlineStr">
        <is>
          <t>M1091</t>
        </is>
      </c>
      <c r="B92" s="77" t="inlineStr">
        <is>
          <t>Rafael Barbosa</t>
        </is>
      </c>
      <c r="C92" s="77" t="inlineStr">
        <is>
          <t>M</t>
        </is>
      </c>
      <c r="D92" s="78" t="n">
        <v>33403</v>
      </c>
      <c r="E92" s="77">
        <f>DATEDIF(D92,IF(K92="",Calc!$B$7,K92),"y")</f>
        <v/>
      </c>
      <c r="F92" s="77">
        <f>LOOKUP(E92,{0,25,35,45,55},{"18-24","25-34","35-44","45-54","55+"})</f>
        <v/>
      </c>
      <c r="G92" s="77" t="inlineStr">
        <is>
          <t>Comercial</t>
        </is>
      </c>
      <c r="H92" s="77" t="inlineStr">
        <is>
          <t>Analista</t>
        </is>
      </c>
      <c r="I92" s="79" t="n">
        <v>4050</v>
      </c>
      <c r="J92" s="78" t="n">
        <v>41083</v>
      </c>
      <c r="K92" s="78" t="n"/>
      <c r="L92" s="77" t="inlineStr"/>
      <c r="M92" s="77" t="inlineStr">
        <is>
          <t>Belo Horizonte</t>
        </is>
      </c>
      <c r="N92" s="77" t="n">
        <v>5</v>
      </c>
      <c r="O92" s="77">
        <f>IF(K92="","Ativo","Desligado")</f>
        <v/>
      </c>
      <c r="P92" s="77">
        <f>ROUND((IF(K92="",Calc!$B$7,K92)-J92)/365.25,1)</f>
        <v/>
      </c>
      <c r="Q92" s="77">
        <f>IF(OR(H92="Coordenação",H92="Gerência",H92="Diretoria"),"Sim","Não")</f>
        <v/>
      </c>
    </row>
    <row r="93">
      <c r="A93" s="77" t="inlineStr">
        <is>
          <t>M1092</t>
        </is>
      </c>
      <c r="B93" s="77" t="inlineStr">
        <is>
          <t>Lucas Ribeiro</t>
        </is>
      </c>
      <c r="C93" s="77" t="inlineStr">
        <is>
          <t>M</t>
        </is>
      </c>
      <c r="D93" s="78" t="n">
        <v>36387</v>
      </c>
      <c r="E93" s="77">
        <f>DATEDIF(D93,IF(K93="",Calc!$B$7,K93),"y")</f>
        <v/>
      </c>
      <c r="F93" s="77">
        <f>LOOKUP(E93,{0,25,35,45,55},{"18-24","25-34","35-44","45-54","55+"})</f>
        <v/>
      </c>
      <c r="G93" s="77" t="inlineStr">
        <is>
          <t>Comercial</t>
        </is>
      </c>
      <c r="H93" s="77" t="inlineStr">
        <is>
          <t>Analista</t>
        </is>
      </c>
      <c r="I93" s="79" t="n">
        <v>4600</v>
      </c>
      <c r="J93" s="78" t="n">
        <v>43717</v>
      </c>
      <c r="K93" s="78" t="n">
        <v>45862</v>
      </c>
      <c r="L93" s="77" t="inlineStr">
        <is>
          <t>Dispensa</t>
        </is>
      </c>
      <c r="M93" s="77" t="inlineStr">
        <is>
          <t>São Paulo</t>
        </is>
      </c>
      <c r="N93" s="77" t="n">
        <v>4.1</v>
      </c>
      <c r="O93" s="77">
        <f>IF(K93="","Ativo","Desligado")</f>
        <v/>
      </c>
      <c r="P93" s="77">
        <f>ROUND((IF(K93="",Calc!$B$7,K93)-J93)/365.25,1)</f>
        <v/>
      </c>
      <c r="Q93" s="77">
        <f>IF(OR(H93="Coordenação",H93="Gerência",H93="Diretoria"),"Sim","Não")</f>
        <v/>
      </c>
    </row>
    <row r="94">
      <c r="A94" s="77" t="inlineStr">
        <is>
          <t>M1093</t>
        </is>
      </c>
      <c r="B94" s="77" t="inlineStr">
        <is>
          <t>Samuel Almeida</t>
        </is>
      </c>
      <c r="C94" s="77" t="inlineStr">
        <is>
          <t>M</t>
        </is>
      </c>
      <c r="D94" s="78" t="n">
        <v>26013</v>
      </c>
      <c r="E94" s="77">
        <f>DATEDIF(D94,IF(K94="",Calc!$B$7,K94),"y")</f>
        <v/>
      </c>
      <c r="F94" s="77">
        <f>LOOKUP(E94,{0,25,35,45,55},{"18-24","25-34","35-44","45-54","55+"})</f>
        <v/>
      </c>
      <c r="G94" s="77" t="inlineStr">
        <is>
          <t>Comercial</t>
        </is>
      </c>
      <c r="H94" s="77" t="inlineStr">
        <is>
          <t>Especialista</t>
        </is>
      </c>
      <c r="I94" s="79" t="n">
        <v>6950</v>
      </c>
      <c r="J94" s="78" t="n">
        <v>45280</v>
      </c>
      <c r="K94" s="78" t="n"/>
      <c r="L94" s="77" t="inlineStr"/>
      <c r="M94" s="77" t="inlineStr">
        <is>
          <t>Belo Horizonte</t>
        </is>
      </c>
      <c r="N94" s="77" t="n">
        <v>3.1</v>
      </c>
      <c r="O94" s="77">
        <f>IF(K94="","Ativo","Desligado")</f>
        <v/>
      </c>
      <c r="P94" s="77">
        <f>ROUND((IF(K94="",Calc!$B$7,K94)-J94)/365.25,1)</f>
        <v/>
      </c>
      <c r="Q94" s="77">
        <f>IF(OR(H94="Coordenação",H94="Gerência",H94="Diretoria"),"Sim","Não")</f>
        <v/>
      </c>
    </row>
    <row r="95">
      <c r="A95" s="77" t="inlineStr">
        <is>
          <t>M1094</t>
        </is>
      </c>
      <c r="B95" s="77" t="inlineStr">
        <is>
          <t>Yasmin Carvalho</t>
        </is>
      </c>
      <c r="C95" s="77" t="inlineStr">
        <is>
          <t>F</t>
        </is>
      </c>
      <c r="D95" s="78" t="n">
        <v>30317</v>
      </c>
      <c r="E95" s="77">
        <f>DATEDIF(D95,IF(K95="",Calc!$B$7,K95),"y")</f>
        <v/>
      </c>
      <c r="F95" s="77">
        <f>LOOKUP(E95,{0,25,35,45,55},{"18-24","25-34","35-44","45-54","55+"})</f>
        <v/>
      </c>
      <c r="G95" s="77" t="inlineStr">
        <is>
          <t>Operações</t>
        </is>
      </c>
      <c r="H95" s="77" t="inlineStr">
        <is>
          <t>Analista</t>
        </is>
      </c>
      <c r="I95" s="79" t="n">
        <v>3150</v>
      </c>
      <c r="J95" s="78" t="n">
        <v>42503</v>
      </c>
      <c r="K95" s="78" t="n"/>
      <c r="L95" s="77" t="inlineStr"/>
      <c r="M95" s="77" t="inlineStr">
        <is>
          <t>São Paulo</t>
        </is>
      </c>
      <c r="N95" s="77" t="n">
        <v>4.7</v>
      </c>
      <c r="O95" s="77">
        <f>IF(K95="","Ativo","Desligado")</f>
        <v/>
      </c>
      <c r="P95" s="77">
        <f>ROUND((IF(K95="",Calc!$B$7,K95)-J95)/365.25,1)</f>
        <v/>
      </c>
      <c r="Q95" s="77">
        <f>IF(OR(H95="Coordenação",H95="Gerência",H95="Diretoria"),"Sim","Não")</f>
        <v/>
      </c>
    </row>
    <row r="96">
      <c r="A96" s="77" t="inlineStr">
        <is>
          <t>M1095</t>
        </is>
      </c>
      <c r="B96" s="77" t="inlineStr">
        <is>
          <t>Beatriz Fernandes</t>
        </is>
      </c>
      <c r="C96" s="77" t="inlineStr">
        <is>
          <t>F</t>
        </is>
      </c>
      <c r="D96" s="78" t="n">
        <v>28238</v>
      </c>
      <c r="E96" s="77">
        <f>DATEDIF(D96,IF(K96="",Calc!$B$7,K96),"y")</f>
        <v/>
      </c>
      <c r="F96" s="77">
        <f>LOOKUP(E96,{0,25,35,45,55},{"18-24","25-34","35-44","45-54","55+"})</f>
        <v/>
      </c>
      <c r="G96" s="77" t="inlineStr">
        <is>
          <t>Financeiro</t>
        </is>
      </c>
      <c r="H96" s="77" t="inlineStr">
        <is>
          <t>Especialista</t>
        </is>
      </c>
      <c r="I96" s="79" t="n">
        <v>7900</v>
      </c>
      <c r="J96" s="78" t="n">
        <v>42095</v>
      </c>
      <c r="K96" s="78" t="n">
        <v>46232</v>
      </c>
      <c r="L96" s="77" t="inlineStr">
        <is>
          <t>Pedido de demissão</t>
        </is>
      </c>
      <c r="M96" s="77" t="inlineStr">
        <is>
          <t>São Paulo</t>
        </is>
      </c>
      <c r="N96" s="77" t="n">
        <v>4.3</v>
      </c>
      <c r="O96" s="77">
        <f>IF(K96="","Ativo","Desligado")</f>
        <v/>
      </c>
      <c r="P96" s="77">
        <f>ROUND((IF(K96="",Calc!$B$7,K96)-J96)/365.25,1)</f>
        <v/>
      </c>
      <c r="Q96" s="77">
        <f>IF(OR(H96="Coordenação",H96="Gerência",H96="Diretoria"),"Sim","Não")</f>
        <v/>
      </c>
    </row>
    <row r="97">
      <c r="A97" s="77" t="inlineStr">
        <is>
          <t>M1096</t>
        </is>
      </c>
      <c r="B97" s="77" t="inlineStr">
        <is>
          <t>Carlos Santos</t>
        </is>
      </c>
      <c r="C97" s="77" t="inlineStr">
        <is>
          <t>M</t>
        </is>
      </c>
      <c r="D97" s="78" t="n">
        <v>32139</v>
      </c>
      <c r="E97" s="77">
        <f>DATEDIF(D97,IF(K97="",Calc!$B$7,K97),"y")</f>
        <v/>
      </c>
      <c r="F97" s="77">
        <f>LOOKUP(E97,{0,25,35,45,55},{"18-24","25-34","35-44","45-54","55+"})</f>
        <v/>
      </c>
      <c r="G97" s="77" t="inlineStr">
        <is>
          <t>RH</t>
        </is>
      </c>
      <c r="H97" s="77" t="inlineStr">
        <is>
          <t>Assistente</t>
        </is>
      </c>
      <c r="I97" s="79" t="n">
        <v>3200</v>
      </c>
      <c r="J97" s="78" t="n">
        <v>43645</v>
      </c>
      <c r="K97" s="78" t="n">
        <v>45730</v>
      </c>
      <c r="L97" s="77" t="inlineStr">
        <is>
          <t>Pedido de demissão</t>
        </is>
      </c>
      <c r="M97" s="77" t="inlineStr">
        <is>
          <t>Belo Horizonte</t>
        </is>
      </c>
      <c r="N97" s="77" t="n">
        <v>3.4</v>
      </c>
      <c r="O97" s="77">
        <f>IF(K97="","Ativo","Desligado")</f>
        <v/>
      </c>
      <c r="P97" s="77">
        <f>ROUND((IF(K97="",Calc!$B$7,K97)-J97)/365.25,1)</f>
        <v/>
      </c>
      <c r="Q97" s="77">
        <f>IF(OR(H97="Coordenação",H97="Gerência",H97="Diretoria"),"Sim","Não")</f>
        <v/>
      </c>
    </row>
    <row r="98">
      <c r="A98" s="77" t="inlineStr">
        <is>
          <t>M1097</t>
        </is>
      </c>
      <c r="B98" s="77" t="inlineStr">
        <is>
          <t>Otávio Dias</t>
        </is>
      </c>
      <c r="C98" s="77" t="inlineStr">
        <is>
          <t>M</t>
        </is>
      </c>
      <c r="D98" s="78" t="n">
        <v>38676</v>
      </c>
      <c r="E98" s="77">
        <f>DATEDIF(D98,IF(K98="",Calc!$B$7,K98),"y")</f>
        <v/>
      </c>
      <c r="F98" s="77">
        <f>LOOKUP(E98,{0,25,35,45,55},{"18-24","25-34","35-44","45-54","55+"})</f>
        <v/>
      </c>
      <c r="G98" s="77" t="inlineStr">
        <is>
          <t>Operações</t>
        </is>
      </c>
      <c r="H98" s="77" t="inlineStr">
        <is>
          <t>Coordenação</t>
        </is>
      </c>
      <c r="I98" s="79" t="n">
        <v>6650</v>
      </c>
      <c r="J98" s="78" t="n">
        <v>45163</v>
      </c>
      <c r="K98" s="78" t="n"/>
      <c r="L98" s="77" t="inlineStr"/>
      <c r="M98" s="77" t="inlineStr">
        <is>
          <t>Recife</t>
        </is>
      </c>
      <c r="N98" s="77" t="n">
        <v>3.7</v>
      </c>
      <c r="O98" s="77">
        <f>IF(K98="","Ativo","Desligado")</f>
        <v/>
      </c>
      <c r="P98" s="77">
        <f>ROUND((IF(K98="",Calc!$B$7,K98)-J98)/365.25,1)</f>
        <v/>
      </c>
      <c r="Q98" s="77">
        <f>IF(OR(H98="Coordenação",H98="Gerência",H98="Diretoria"),"Sim","Não")</f>
        <v/>
      </c>
    </row>
    <row r="99">
      <c r="A99" s="77" t="inlineStr">
        <is>
          <t>M1098</t>
        </is>
      </c>
      <c r="B99" s="77" t="inlineStr">
        <is>
          <t>Larissa Rocha</t>
        </is>
      </c>
      <c r="C99" s="77" t="inlineStr">
        <is>
          <t>F</t>
        </is>
      </c>
      <c r="D99" s="78" t="n">
        <v>32016</v>
      </c>
      <c r="E99" s="77">
        <f>DATEDIF(D99,IF(K99="",Calc!$B$7,K99),"y")</f>
        <v/>
      </c>
      <c r="F99" s="77">
        <f>LOOKUP(E99,{0,25,35,45,55},{"18-24","25-34","35-44","45-54","55+"})</f>
        <v/>
      </c>
      <c r="G99" s="77" t="inlineStr">
        <is>
          <t>Operações</t>
        </is>
      </c>
      <c r="H99" s="77" t="inlineStr">
        <is>
          <t>Coordenação</t>
        </is>
      </c>
      <c r="I99" s="79" t="n">
        <v>5650</v>
      </c>
      <c r="J99" s="78" t="n">
        <v>43147</v>
      </c>
      <c r="K99" s="78" t="n">
        <v>46088</v>
      </c>
      <c r="L99" s="77" t="inlineStr">
        <is>
          <t>Pedido de demissão</t>
        </is>
      </c>
      <c r="M99" s="77" t="inlineStr">
        <is>
          <t>São Paulo</t>
        </is>
      </c>
      <c r="N99" s="77" t="n">
        <v>2.5</v>
      </c>
      <c r="O99" s="77">
        <f>IF(K99="","Ativo","Desligado")</f>
        <v/>
      </c>
      <c r="P99" s="77">
        <f>ROUND((IF(K99="",Calc!$B$7,K99)-J99)/365.25,1)</f>
        <v/>
      </c>
      <c r="Q99" s="77">
        <f>IF(OR(H99="Coordenação",H99="Gerência",H99="Diretoria"),"Sim","Não")</f>
        <v/>
      </c>
    </row>
    <row r="100">
      <c r="A100" s="77" t="inlineStr">
        <is>
          <t>M1099</t>
        </is>
      </c>
      <c r="B100" s="77" t="inlineStr">
        <is>
          <t>Gustavo Soares</t>
        </is>
      </c>
      <c r="C100" s="77" t="inlineStr">
        <is>
          <t>M</t>
        </is>
      </c>
      <c r="D100" s="78" t="n">
        <v>36378</v>
      </c>
      <c r="E100" s="77">
        <f>DATEDIF(D100,IF(K100="",Calc!$B$7,K100),"y")</f>
        <v/>
      </c>
      <c r="F100" s="77">
        <f>LOOKUP(E100,{0,25,35,45,55},{"18-24","25-34","35-44","45-54","55+"})</f>
        <v/>
      </c>
      <c r="G100" s="77" t="inlineStr">
        <is>
          <t>Tecnologia</t>
        </is>
      </c>
      <c r="H100" s="77" t="inlineStr">
        <is>
          <t>Analista</t>
        </is>
      </c>
      <c r="I100" s="79" t="n">
        <v>7250</v>
      </c>
      <c r="J100" s="78" t="n">
        <v>43671</v>
      </c>
      <c r="K100" s="78" t="n"/>
      <c r="L100" s="77" t="inlineStr"/>
      <c r="M100" s="77" t="inlineStr">
        <is>
          <t>São Paulo</t>
        </is>
      </c>
      <c r="N100" s="77" t="n">
        <v>4.6</v>
      </c>
      <c r="O100" s="77">
        <f>IF(K100="","Ativo","Desligado")</f>
        <v/>
      </c>
      <c r="P100" s="77">
        <f>ROUND((IF(K100="",Calc!$B$7,K100)-J100)/365.25,1)</f>
        <v/>
      </c>
      <c r="Q100" s="77">
        <f>IF(OR(H100="Coordenação",H100="Gerência",H100="Diretoria"),"Sim","Não")</f>
        <v/>
      </c>
    </row>
    <row r="101">
      <c r="A101" s="77" t="inlineStr">
        <is>
          <t>M1100</t>
        </is>
      </c>
      <c r="B101" s="77" t="inlineStr">
        <is>
          <t>Sofia Silva</t>
        </is>
      </c>
      <c r="C101" s="77" t="inlineStr">
        <is>
          <t>F</t>
        </is>
      </c>
      <c r="D101" s="78" t="n">
        <v>28574</v>
      </c>
      <c r="E101" s="77">
        <f>DATEDIF(D101,IF(K101="",Calc!$B$7,K101),"y")</f>
        <v/>
      </c>
      <c r="F101" s="77">
        <f>LOOKUP(E101,{0,25,35,45,55},{"18-24","25-34","35-44","45-54","55+"})</f>
        <v/>
      </c>
      <c r="G101" s="77" t="inlineStr">
        <is>
          <t>Marketing</t>
        </is>
      </c>
      <c r="H101" s="77" t="inlineStr">
        <is>
          <t>Analista</t>
        </is>
      </c>
      <c r="I101" s="79" t="n">
        <v>5900</v>
      </c>
      <c r="J101" s="78" t="n">
        <v>41628</v>
      </c>
      <c r="K101" s="78" t="n"/>
      <c r="L101" s="77" t="inlineStr"/>
      <c r="M101" s="77" t="inlineStr">
        <is>
          <t>Curitiba</t>
        </is>
      </c>
      <c r="N101" s="77" t="n">
        <v>3.5</v>
      </c>
      <c r="O101" s="77">
        <f>IF(K101="","Ativo","Desligado")</f>
        <v/>
      </c>
      <c r="P101" s="77">
        <f>ROUND((IF(K101="",Calc!$B$7,K101)-J101)/365.25,1)</f>
        <v/>
      </c>
      <c r="Q101" s="77">
        <f>IF(OR(H101="Coordenação",H101="Gerência",H101="Diretoria"),"Sim","Não")</f>
        <v/>
      </c>
    </row>
    <row r="102">
      <c r="A102" s="77" t="inlineStr">
        <is>
          <t>M1101</t>
        </is>
      </c>
      <c r="B102" s="77" t="inlineStr">
        <is>
          <t>Patrícia Rocha</t>
        </is>
      </c>
      <c r="C102" s="77" t="inlineStr">
        <is>
          <t>F</t>
        </is>
      </c>
      <c r="D102" s="78" t="n">
        <v>33750</v>
      </c>
      <c r="E102" s="77">
        <f>DATEDIF(D102,IF(K102="",Calc!$B$7,K102),"y")</f>
        <v/>
      </c>
      <c r="F102" s="77">
        <f>LOOKUP(E102,{0,25,35,45,55},{"18-24","25-34","35-44","45-54","55+"})</f>
        <v/>
      </c>
      <c r="G102" s="77" t="inlineStr">
        <is>
          <t>Comercial</t>
        </is>
      </c>
      <c r="H102" s="77" t="inlineStr">
        <is>
          <t>Assistente</t>
        </is>
      </c>
      <c r="I102" s="79" t="n">
        <v>2800</v>
      </c>
      <c r="J102" s="78" t="n">
        <v>42803</v>
      </c>
      <c r="K102" s="78" t="n"/>
      <c r="L102" s="77" t="inlineStr"/>
      <c r="M102" s="77" t="inlineStr">
        <is>
          <t>Curitiba</t>
        </is>
      </c>
      <c r="N102" s="77" t="n">
        <v>3.4</v>
      </c>
      <c r="O102" s="77">
        <f>IF(K102="","Ativo","Desligado")</f>
        <v/>
      </c>
      <c r="P102" s="77">
        <f>ROUND((IF(K102="",Calc!$B$7,K102)-J102)/365.25,1)</f>
        <v/>
      </c>
      <c r="Q102" s="77">
        <f>IF(OR(H102="Coordenação",H102="Gerência",H102="Diretoria"),"Sim","Não")</f>
        <v/>
      </c>
    </row>
    <row r="103">
      <c r="A103" s="77" t="inlineStr">
        <is>
          <t>M1102</t>
        </is>
      </c>
      <c r="B103" s="77" t="inlineStr">
        <is>
          <t>Mariana Silva</t>
        </is>
      </c>
      <c r="C103" s="77" t="inlineStr">
        <is>
          <t>F</t>
        </is>
      </c>
      <c r="D103" s="78" t="n">
        <v>31904</v>
      </c>
      <c r="E103" s="77">
        <f>DATEDIF(D103,IF(K103="",Calc!$B$7,K103),"y")</f>
        <v/>
      </c>
      <c r="F103" s="77">
        <f>LOOKUP(E103,{0,25,35,45,55},{"18-24","25-34","35-44","45-54","55+"})</f>
        <v/>
      </c>
      <c r="G103" s="77" t="inlineStr">
        <is>
          <t>Tecnologia</t>
        </is>
      </c>
      <c r="H103" s="77" t="inlineStr">
        <is>
          <t>Coordenação</t>
        </is>
      </c>
      <c r="I103" s="79" t="n">
        <v>13350</v>
      </c>
      <c r="J103" s="78" t="n">
        <v>43517</v>
      </c>
      <c r="K103" s="78" t="n"/>
      <c r="L103" s="77" t="inlineStr"/>
      <c r="M103" s="77" t="inlineStr">
        <is>
          <t>São Paulo</t>
        </is>
      </c>
      <c r="N103" s="77" t="n">
        <v>4.4</v>
      </c>
      <c r="O103" s="77">
        <f>IF(K103="","Ativo","Desligado")</f>
        <v/>
      </c>
      <c r="P103" s="77">
        <f>ROUND((IF(K103="",Calc!$B$7,K103)-J103)/365.25,1)</f>
        <v/>
      </c>
      <c r="Q103" s="77">
        <f>IF(OR(H103="Coordenação",H103="Gerência",H103="Diretoria"),"Sim","Não")</f>
        <v/>
      </c>
    </row>
    <row r="104">
      <c r="A104" s="77" t="inlineStr">
        <is>
          <t>M1103</t>
        </is>
      </c>
      <c r="B104" s="77" t="inlineStr">
        <is>
          <t>João Soares</t>
        </is>
      </c>
      <c r="C104" s="77" t="inlineStr">
        <is>
          <t>M</t>
        </is>
      </c>
      <c r="D104" s="78" t="n">
        <v>31142</v>
      </c>
      <c r="E104" s="77">
        <f>DATEDIF(D104,IF(K104="",Calc!$B$7,K104),"y")</f>
        <v/>
      </c>
      <c r="F104" s="77">
        <f>LOOKUP(E104,{0,25,35,45,55},{"18-24","25-34","35-44","45-54","55+"})</f>
        <v/>
      </c>
      <c r="G104" s="77" t="inlineStr">
        <is>
          <t>Tecnologia</t>
        </is>
      </c>
      <c r="H104" s="77" t="inlineStr">
        <is>
          <t>Analista</t>
        </is>
      </c>
      <c r="I104" s="79" t="n">
        <v>6950</v>
      </c>
      <c r="J104" s="78" t="n">
        <v>45480</v>
      </c>
      <c r="K104" s="78" t="n"/>
      <c r="L104" s="77" t="inlineStr"/>
      <c r="M104" s="77" t="inlineStr">
        <is>
          <t>São Paulo</t>
        </is>
      </c>
      <c r="N104" s="77" t="n">
        <v>4.4</v>
      </c>
      <c r="O104" s="77">
        <f>IF(K104="","Ativo","Desligado")</f>
        <v/>
      </c>
      <c r="P104" s="77">
        <f>ROUND((IF(K104="",Calc!$B$7,K104)-J104)/365.25,1)</f>
        <v/>
      </c>
      <c r="Q104" s="77">
        <f>IF(OR(H104="Coordenação",H104="Gerência",H104="Diretoria"),"Sim","Não")</f>
        <v/>
      </c>
    </row>
    <row r="105">
      <c r="A105" s="77" t="inlineStr">
        <is>
          <t>M1104</t>
        </is>
      </c>
      <c r="B105" s="77" t="inlineStr">
        <is>
          <t>Otávio Lima</t>
        </is>
      </c>
      <c r="C105" s="77" t="inlineStr">
        <is>
          <t>M</t>
        </is>
      </c>
      <c r="D105" s="78" t="n">
        <v>29108</v>
      </c>
      <c r="E105" s="77">
        <f>DATEDIF(D105,IF(K105="",Calc!$B$7,K105),"y")</f>
        <v/>
      </c>
      <c r="F105" s="77">
        <f>LOOKUP(E105,{0,25,35,45,55},{"18-24","25-34","35-44","45-54","55+"})</f>
        <v/>
      </c>
      <c r="G105" s="77" t="inlineStr">
        <is>
          <t>Operações</t>
        </is>
      </c>
      <c r="H105" s="77" t="inlineStr">
        <is>
          <t>Analista</t>
        </is>
      </c>
      <c r="I105" s="79" t="n">
        <v>3150</v>
      </c>
      <c r="J105" s="78" t="n">
        <v>41889</v>
      </c>
      <c r="K105" s="78" t="n"/>
      <c r="L105" s="77" t="inlineStr"/>
      <c r="M105" s="77" t="inlineStr">
        <is>
          <t>Recife</t>
        </is>
      </c>
      <c r="N105" s="77" t="n">
        <v>3</v>
      </c>
      <c r="O105" s="77">
        <f>IF(K105="","Ativo","Desligado")</f>
        <v/>
      </c>
      <c r="P105" s="77">
        <f>ROUND((IF(K105="",Calc!$B$7,K105)-J105)/365.25,1)</f>
        <v/>
      </c>
      <c r="Q105" s="77">
        <f>IF(OR(H105="Coordenação",H105="Gerência",H105="Diretoria"),"Sim","Não")</f>
        <v/>
      </c>
    </row>
    <row r="106">
      <c r="A106" s="77" t="inlineStr">
        <is>
          <t>M1105</t>
        </is>
      </c>
      <c r="B106" s="77" t="inlineStr">
        <is>
          <t>André Pereira</t>
        </is>
      </c>
      <c r="C106" s="77" t="inlineStr">
        <is>
          <t>M</t>
        </is>
      </c>
      <c r="D106" s="78" t="n">
        <v>33335</v>
      </c>
      <c r="E106" s="77">
        <f>DATEDIF(D106,IF(K106="",Calc!$B$7,K106),"y")</f>
        <v/>
      </c>
      <c r="F106" s="77">
        <f>LOOKUP(E106,{0,25,35,45,55},{"18-24","25-34","35-44","45-54","55+"})</f>
        <v/>
      </c>
      <c r="G106" s="77" t="inlineStr">
        <is>
          <t>Comercial</t>
        </is>
      </c>
      <c r="H106" s="77" t="inlineStr">
        <is>
          <t>Assistente</t>
        </is>
      </c>
      <c r="I106" s="79" t="n">
        <v>3450</v>
      </c>
      <c r="J106" s="78" t="n">
        <v>42846</v>
      </c>
      <c r="K106" s="78" t="n">
        <v>46117</v>
      </c>
      <c r="L106" s="77" t="inlineStr">
        <is>
          <t>Pedido de demissão</t>
        </is>
      </c>
      <c r="M106" s="77" t="inlineStr">
        <is>
          <t>São Paulo</t>
        </is>
      </c>
      <c r="N106" s="77" t="n">
        <v>3.8</v>
      </c>
      <c r="O106" s="77">
        <f>IF(K106="","Ativo","Desligado")</f>
        <v/>
      </c>
      <c r="P106" s="77">
        <f>ROUND((IF(K106="",Calc!$B$7,K106)-J106)/365.25,1)</f>
        <v/>
      </c>
      <c r="Q106" s="77">
        <f>IF(OR(H106="Coordenação",H106="Gerência",H106="Diretoria"),"Sim","Não")</f>
        <v/>
      </c>
    </row>
    <row r="107">
      <c r="A107" s="77" t="inlineStr">
        <is>
          <t>M1106</t>
        </is>
      </c>
      <c r="B107" s="77" t="inlineStr">
        <is>
          <t>Sofia Almeida</t>
        </is>
      </c>
      <c r="C107" s="77" t="inlineStr">
        <is>
          <t>F</t>
        </is>
      </c>
      <c r="D107" s="78" t="n">
        <v>27283</v>
      </c>
      <c r="E107" s="77">
        <f>DATEDIF(D107,IF(K107="",Calc!$B$7,K107),"y")</f>
        <v/>
      </c>
      <c r="F107" s="77">
        <f>LOOKUP(E107,{0,25,35,45,55},{"18-24","25-34","35-44","45-54","55+"})</f>
        <v/>
      </c>
      <c r="G107" s="77" t="inlineStr">
        <is>
          <t>Tecnologia</t>
        </is>
      </c>
      <c r="H107" s="77" t="inlineStr">
        <is>
          <t>Assistente</t>
        </is>
      </c>
      <c r="I107" s="79" t="n">
        <v>5900</v>
      </c>
      <c r="J107" s="78" t="n">
        <v>43062</v>
      </c>
      <c r="K107" s="78" t="n"/>
      <c r="L107" s="77" t="inlineStr"/>
      <c r="M107" s="77" t="inlineStr">
        <is>
          <t>São Paulo</t>
        </is>
      </c>
      <c r="N107" s="77" t="n">
        <v>3.8</v>
      </c>
      <c r="O107" s="77">
        <f>IF(K107="","Ativo","Desligado")</f>
        <v/>
      </c>
      <c r="P107" s="77">
        <f>ROUND((IF(K107="",Calc!$B$7,K107)-J107)/365.25,1)</f>
        <v/>
      </c>
      <c r="Q107" s="77">
        <f>IF(OR(H107="Coordenação",H107="Gerência",H107="Diretoria"),"Sim","Não")</f>
        <v/>
      </c>
    </row>
    <row r="108">
      <c r="A108" s="77" t="inlineStr">
        <is>
          <t>M1107</t>
        </is>
      </c>
      <c r="B108" s="77" t="inlineStr">
        <is>
          <t>João Rocha</t>
        </is>
      </c>
      <c r="C108" s="77" t="inlineStr">
        <is>
          <t>M</t>
        </is>
      </c>
      <c r="D108" s="78" t="n">
        <v>27723</v>
      </c>
      <c r="E108" s="77">
        <f>DATEDIF(D108,IF(K108="",Calc!$B$7,K108),"y")</f>
        <v/>
      </c>
      <c r="F108" s="77">
        <f>LOOKUP(E108,{0,25,35,45,55},{"18-24","25-34","35-44","45-54","55+"})</f>
        <v/>
      </c>
      <c r="G108" s="77" t="inlineStr">
        <is>
          <t>Comercial</t>
        </is>
      </c>
      <c r="H108" s="77" t="inlineStr">
        <is>
          <t>Gerência</t>
        </is>
      </c>
      <c r="I108" s="79" t="n">
        <v>12900</v>
      </c>
      <c r="J108" s="78" t="n">
        <v>41971</v>
      </c>
      <c r="K108" s="78" t="n">
        <v>45895</v>
      </c>
      <c r="L108" s="77" t="inlineStr">
        <is>
          <t>Dispensa</t>
        </is>
      </c>
      <c r="M108" s="77" t="inlineStr">
        <is>
          <t>Curitiba</t>
        </is>
      </c>
      <c r="N108" s="77" t="n">
        <v>4.1</v>
      </c>
      <c r="O108" s="77">
        <f>IF(K108="","Ativo","Desligado")</f>
        <v/>
      </c>
      <c r="P108" s="77">
        <f>ROUND((IF(K108="",Calc!$B$7,K108)-J108)/365.25,1)</f>
        <v/>
      </c>
      <c r="Q108" s="77">
        <f>IF(OR(H108="Coordenação",H108="Gerência",H108="Diretoria"),"Sim","Não")</f>
        <v/>
      </c>
    </row>
    <row r="109">
      <c r="A109" s="77" t="inlineStr">
        <is>
          <t>M1108</t>
        </is>
      </c>
      <c r="B109" s="77" t="inlineStr">
        <is>
          <t>Helena Rocha</t>
        </is>
      </c>
      <c r="C109" s="77" t="inlineStr">
        <is>
          <t>F</t>
        </is>
      </c>
      <c r="D109" s="78" t="n">
        <v>32825</v>
      </c>
      <c r="E109" s="77">
        <f>DATEDIF(D109,IF(K109="",Calc!$B$7,K109),"y")</f>
        <v/>
      </c>
      <c r="F109" s="77">
        <f>LOOKUP(E109,{0,25,35,45,55},{"18-24","25-34","35-44","45-54","55+"})</f>
        <v/>
      </c>
      <c r="G109" s="77" t="inlineStr">
        <is>
          <t>Tecnologia</t>
        </is>
      </c>
      <c r="H109" s="77" t="inlineStr">
        <is>
          <t>Analista</t>
        </is>
      </c>
      <c r="I109" s="79" t="n">
        <v>7300</v>
      </c>
      <c r="J109" s="78" t="n">
        <v>44673</v>
      </c>
      <c r="K109" s="78" t="n"/>
      <c r="L109" s="77" t="inlineStr"/>
      <c r="M109" s="77" t="inlineStr">
        <is>
          <t>Curitiba</t>
        </is>
      </c>
      <c r="N109" s="77" t="n">
        <v>5</v>
      </c>
      <c r="O109" s="77">
        <f>IF(K109="","Ativo","Desligado")</f>
        <v/>
      </c>
      <c r="P109" s="77">
        <f>ROUND((IF(K109="",Calc!$B$7,K109)-J109)/365.25,1)</f>
        <v/>
      </c>
      <c r="Q109" s="77">
        <f>IF(OR(H109="Coordenação",H109="Gerência",H109="Diretoria"),"Sim","Não")</f>
        <v/>
      </c>
    </row>
    <row r="110">
      <c r="A110" s="77" t="inlineStr">
        <is>
          <t>M1109</t>
        </is>
      </c>
      <c r="B110" s="77" t="inlineStr">
        <is>
          <t>Ana Dias</t>
        </is>
      </c>
      <c r="C110" s="77" t="inlineStr">
        <is>
          <t>F</t>
        </is>
      </c>
      <c r="D110" s="78" t="n">
        <v>35423</v>
      </c>
      <c r="E110" s="77">
        <f>DATEDIF(D110,IF(K110="",Calc!$B$7,K110),"y")</f>
        <v/>
      </c>
      <c r="F110" s="77">
        <f>LOOKUP(E110,{0,25,35,45,55},{"18-24","25-34","35-44","45-54","55+"})</f>
        <v/>
      </c>
      <c r="G110" s="77" t="inlineStr">
        <is>
          <t>Comercial</t>
        </is>
      </c>
      <c r="H110" s="77" t="inlineStr">
        <is>
          <t>Analista</t>
        </is>
      </c>
      <c r="I110" s="79" t="n">
        <v>4450</v>
      </c>
      <c r="J110" s="78" t="n">
        <v>41451</v>
      </c>
      <c r="K110" s="78" t="n"/>
      <c r="L110" s="77" t="inlineStr"/>
      <c r="M110" s="77" t="inlineStr">
        <is>
          <t>São Paulo</t>
        </is>
      </c>
      <c r="N110" s="77" t="n">
        <v>4.4</v>
      </c>
      <c r="O110" s="77">
        <f>IF(K110="","Ativo","Desligado")</f>
        <v/>
      </c>
      <c r="P110" s="77">
        <f>ROUND((IF(K110="",Calc!$B$7,K110)-J110)/365.25,1)</f>
        <v/>
      </c>
      <c r="Q110" s="77">
        <f>IF(OR(H110="Coordenação",H110="Gerência",H110="Diretoria"),"Sim","Não")</f>
        <v/>
      </c>
    </row>
    <row r="111">
      <c r="A111" s="77" t="inlineStr">
        <is>
          <t>M1110</t>
        </is>
      </c>
      <c r="B111" s="77" t="inlineStr">
        <is>
          <t>Thiago Costa</t>
        </is>
      </c>
      <c r="C111" s="77" t="inlineStr">
        <is>
          <t>M</t>
        </is>
      </c>
      <c r="D111" s="78" t="n">
        <v>35040</v>
      </c>
      <c r="E111" s="77">
        <f>DATEDIF(D111,IF(K111="",Calc!$B$7,K111),"y")</f>
        <v/>
      </c>
      <c r="F111" s="77">
        <f>LOOKUP(E111,{0,25,35,45,55},{"18-24","25-34","35-44","45-54","55+"})</f>
        <v/>
      </c>
      <c r="G111" s="77" t="inlineStr">
        <is>
          <t>Tecnologia</t>
        </is>
      </c>
      <c r="H111" s="77" t="inlineStr">
        <is>
          <t>Analista</t>
        </is>
      </c>
      <c r="I111" s="79" t="n">
        <v>8300</v>
      </c>
      <c r="J111" s="78" t="n">
        <v>42304</v>
      </c>
      <c r="K111" s="78" t="n">
        <v>45997</v>
      </c>
      <c r="L111" s="77" t="inlineStr">
        <is>
          <t>Dispensa</t>
        </is>
      </c>
      <c r="M111" s="77" t="inlineStr">
        <is>
          <t>Curitiba</t>
        </is>
      </c>
      <c r="N111" s="77" t="n">
        <v>3.8</v>
      </c>
      <c r="O111" s="77">
        <f>IF(K111="","Ativo","Desligado")</f>
        <v/>
      </c>
      <c r="P111" s="77">
        <f>ROUND((IF(K111="",Calc!$B$7,K111)-J111)/365.25,1)</f>
        <v/>
      </c>
      <c r="Q111" s="77">
        <f>IF(OR(H111="Coordenação",H111="Gerência",H111="Diretoria"),"Sim","Não")</f>
        <v/>
      </c>
    </row>
    <row r="112">
      <c r="A112" s="77" t="inlineStr">
        <is>
          <t>M1111</t>
        </is>
      </c>
      <c r="B112" s="77" t="inlineStr">
        <is>
          <t>Gabriela Moreira</t>
        </is>
      </c>
      <c r="C112" s="77" t="inlineStr">
        <is>
          <t>F</t>
        </is>
      </c>
      <c r="D112" s="78" t="n">
        <v>32756</v>
      </c>
      <c r="E112" s="77">
        <f>DATEDIF(D112,IF(K112="",Calc!$B$7,K112),"y")</f>
        <v/>
      </c>
      <c r="F112" s="77">
        <f>LOOKUP(E112,{0,25,35,45,55},{"18-24","25-34","35-44","45-54","55+"})</f>
        <v/>
      </c>
      <c r="G112" s="77" t="inlineStr">
        <is>
          <t>Operações</t>
        </is>
      </c>
      <c r="H112" s="77" t="inlineStr">
        <is>
          <t>Analista</t>
        </is>
      </c>
      <c r="I112" s="79" t="n">
        <v>3550</v>
      </c>
      <c r="J112" s="78" t="n">
        <v>44405</v>
      </c>
      <c r="K112" s="78" t="n">
        <v>46172</v>
      </c>
      <c r="L112" s="77" t="inlineStr">
        <is>
          <t>Fim de contrato</t>
        </is>
      </c>
      <c r="M112" s="77" t="inlineStr">
        <is>
          <t>Curitiba</t>
        </is>
      </c>
      <c r="N112" s="77" t="n">
        <v>4.6</v>
      </c>
      <c r="O112" s="77">
        <f>IF(K112="","Ativo","Desligado")</f>
        <v/>
      </c>
      <c r="P112" s="77">
        <f>ROUND((IF(K112="",Calc!$B$7,K112)-J112)/365.25,1)</f>
        <v/>
      </c>
      <c r="Q112" s="77">
        <f>IF(OR(H112="Coordenação",H112="Gerência",H112="Diretoria"),"Sim","Não")</f>
        <v/>
      </c>
    </row>
    <row r="113">
      <c r="A113" s="77" t="inlineStr">
        <is>
          <t>M1112</t>
        </is>
      </c>
      <c r="B113" s="77" t="inlineStr">
        <is>
          <t>Mariana Nunes</t>
        </is>
      </c>
      <c r="C113" s="77" t="inlineStr">
        <is>
          <t>F</t>
        </is>
      </c>
      <c r="D113" s="78" t="n">
        <v>35358</v>
      </c>
      <c r="E113" s="77">
        <f>DATEDIF(D113,IF(K113="",Calc!$B$7,K113),"y")</f>
        <v/>
      </c>
      <c r="F113" s="77">
        <f>LOOKUP(E113,{0,25,35,45,55},{"18-24","25-34","35-44","45-54","55+"})</f>
        <v/>
      </c>
      <c r="G113" s="77" t="inlineStr">
        <is>
          <t>Tecnologia</t>
        </is>
      </c>
      <c r="H113" s="77" t="inlineStr">
        <is>
          <t>Analista</t>
        </is>
      </c>
      <c r="I113" s="79" t="n">
        <v>7700</v>
      </c>
      <c r="J113" s="78" t="n">
        <v>43699</v>
      </c>
      <c r="K113" s="78" t="n"/>
      <c r="L113" s="77" t="inlineStr"/>
      <c r="M113" s="77" t="inlineStr">
        <is>
          <t>Belo Horizonte</t>
        </is>
      </c>
      <c r="N113" s="77" t="n">
        <v>3.7</v>
      </c>
      <c r="O113" s="77">
        <f>IF(K113="","Ativo","Desligado")</f>
        <v/>
      </c>
      <c r="P113" s="77">
        <f>ROUND((IF(K113="",Calc!$B$7,K113)-J113)/365.25,1)</f>
        <v/>
      </c>
      <c r="Q113" s="77">
        <f>IF(OR(H113="Coordenação",H113="Gerência",H113="Diretoria"),"Sim","Não")</f>
        <v/>
      </c>
    </row>
    <row r="114">
      <c r="A114" s="77" t="inlineStr">
        <is>
          <t>M1113</t>
        </is>
      </c>
      <c r="B114" s="77" t="inlineStr">
        <is>
          <t>Eduardo Barbosa</t>
        </is>
      </c>
      <c r="C114" s="77" t="inlineStr">
        <is>
          <t>M</t>
        </is>
      </c>
      <c r="D114" s="78" t="n">
        <v>35722</v>
      </c>
      <c r="E114" s="77">
        <f>DATEDIF(D114,IF(K114="",Calc!$B$7,K114),"y")</f>
        <v/>
      </c>
      <c r="F114" s="77">
        <f>LOOKUP(E114,{0,25,35,45,55},{"18-24","25-34","35-44","45-54","55+"})</f>
        <v/>
      </c>
      <c r="G114" s="77" t="inlineStr">
        <is>
          <t>Operações</t>
        </is>
      </c>
      <c r="H114" s="77" t="inlineStr">
        <is>
          <t>Especialista</t>
        </is>
      </c>
      <c r="I114" s="79" t="n">
        <v>4550</v>
      </c>
      <c r="J114" s="78" t="n">
        <v>45200</v>
      </c>
      <c r="K114" s="78" t="n"/>
      <c r="L114" s="77" t="inlineStr"/>
      <c r="M114" s="77" t="inlineStr">
        <is>
          <t>São Paulo</t>
        </is>
      </c>
      <c r="N114" s="77" t="n">
        <v>4.9</v>
      </c>
      <c r="O114" s="77">
        <f>IF(K114="","Ativo","Desligado")</f>
        <v/>
      </c>
      <c r="P114" s="77">
        <f>ROUND((IF(K114="",Calc!$B$7,K114)-J114)/365.25,1)</f>
        <v/>
      </c>
      <c r="Q114" s="77">
        <f>IF(OR(H114="Coordenação",H114="Gerência",H114="Diretoria"),"Sim","Não")</f>
        <v/>
      </c>
    </row>
    <row r="115">
      <c r="A115" s="77" t="inlineStr">
        <is>
          <t>M1114</t>
        </is>
      </c>
      <c r="B115" s="77" t="inlineStr">
        <is>
          <t>Larissa Alves</t>
        </is>
      </c>
      <c r="C115" s="77" t="inlineStr">
        <is>
          <t>F</t>
        </is>
      </c>
      <c r="D115" s="78" t="n">
        <v>29628</v>
      </c>
      <c r="E115" s="77">
        <f>DATEDIF(D115,IF(K115="",Calc!$B$7,K115),"y")</f>
        <v/>
      </c>
      <c r="F115" s="77">
        <f>LOOKUP(E115,{0,25,35,45,55},{"18-24","25-34","35-44","45-54","55+"})</f>
        <v/>
      </c>
      <c r="G115" s="77" t="inlineStr">
        <is>
          <t>Tecnologia</t>
        </is>
      </c>
      <c r="H115" s="77" t="inlineStr">
        <is>
          <t>Especialista</t>
        </is>
      </c>
      <c r="I115" s="79" t="n">
        <v>12700</v>
      </c>
      <c r="J115" s="78" t="n">
        <v>41097</v>
      </c>
      <c r="K115" s="78" t="n"/>
      <c r="L115" s="77" t="inlineStr"/>
      <c r="M115" s="77" t="inlineStr">
        <is>
          <t>Recife</t>
        </is>
      </c>
      <c r="N115" s="77" t="n">
        <v>3.4</v>
      </c>
      <c r="O115" s="77">
        <f>IF(K115="","Ativo","Desligado")</f>
        <v/>
      </c>
      <c r="P115" s="77">
        <f>ROUND((IF(K115="",Calc!$B$7,K115)-J115)/365.25,1)</f>
        <v/>
      </c>
      <c r="Q115" s="77">
        <f>IF(OR(H115="Coordenação",H115="Gerência",H115="Diretoria"),"Sim","Não")</f>
        <v/>
      </c>
    </row>
    <row r="116">
      <c r="A116" s="77" t="inlineStr">
        <is>
          <t>M1115</t>
        </is>
      </c>
      <c r="B116" s="77" t="inlineStr">
        <is>
          <t>Nicolas Lima</t>
        </is>
      </c>
      <c r="C116" s="77" t="inlineStr">
        <is>
          <t>M</t>
        </is>
      </c>
      <c r="D116" s="78" t="n">
        <v>36285</v>
      </c>
      <c r="E116" s="77">
        <f>DATEDIF(D116,IF(K116="",Calc!$B$7,K116),"y")</f>
        <v/>
      </c>
      <c r="F116" s="77">
        <f>LOOKUP(E116,{0,25,35,45,55},{"18-24","25-34","35-44","45-54","55+"})</f>
        <v/>
      </c>
      <c r="G116" s="77" t="inlineStr">
        <is>
          <t>Marketing</t>
        </is>
      </c>
      <c r="H116" s="77" t="inlineStr">
        <is>
          <t>Analista</t>
        </is>
      </c>
      <c r="I116" s="79" t="n">
        <v>5700</v>
      </c>
      <c r="J116" s="78" t="n">
        <v>43322</v>
      </c>
      <c r="K116" s="78" t="n"/>
      <c r="L116" s="77" t="inlineStr"/>
      <c r="M116" s="77" t="inlineStr">
        <is>
          <t>São Paulo</t>
        </is>
      </c>
      <c r="N116" s="77" t="n">
        <v>3.9</v>
      </c>
      <c r="O116" s="77">
        <f>IF(K116="","Ativo","Desligado")</f>
        <v/>
      </c>
      <c r="P116" s="77">
        <f>ROUND((IF(K116="",Calc!$B$7,K116)-J116)/365.25,1)</f>
        <v/>
      </c>
      <c r="Q116" s="77">
        <f>IF(OR(H116="Coordenação",H116="Gerência",H116="Diretoria"),"Sim","Não")</f>
        <v/>
      </c>
    </row>
    <row r="117">
      <c r="A117" s="77" t="inlineStr">
        <is>
          <t>M1116</t>
        </is>
      </c>
      <c r="B117" s="77" t="inlineStr">
        <is>
          <t>Gabriela Soares</t>
        </is>
      </c>
      <c r="C117" s="77" t="inlineStr">
        <is>
          <t>F</t>
        </is>
      </c>
      <c r="D117" s="78" t="n">
        <v>34407</v>
      </c>
      <c r="E117" s="77">
        <f>DATEDIF(D117,IF(K117="",Calc!$B$7,K117),"y")</f>
        <v/>
      </c>
      <c r="F117" s="77">
        <f>LOOKUP(E117,{0,25,35,45,55},{"18-24","25-34","35-44","45-54","55+"})</f>
        <v/>
      </c>
      <c r="G117" s="77" t="inlineStr">
        <is>
          <t>Comercial</t>
        </is>
      </c>
      <c r="H117" s="77" t="inlineStr">
        <is>
          <t>Analista</t>
        </is>
      </c>
      <c r="I117" s="79" t="n">
        <v>4350</v>
      </c>
      <c r="J117" s="78" t="n">
        <v>43830</v>
      </c>
      <c r="K117" s="78" t="n"/>
      <c r="L117" s="77" t="inlineStr"/>
      <c r="M117" s="77" t="inlineStr">
        <is>
          <t>São Paulo</t>
        </is>
      </c>
      <c r="N117" s="77" t="n">
        <v>2.7</v>
      </c>
      <c r="O117" s="77">
        <f>IF(K117="","Ativo","Desligado")</f>
        <v/>
      </c>
      <c r="P117" s="77">
        <f>ROUND((IF(K117="",Calc!$B$7,K117)-J117)/365.25,1)</f>
        <v/>
      </c>
      <c r="Q117" s="77">
        <f>IF(OR(H117="Coordenação",H117="Gerência",H117="Diretoria"),"Sim","Não")</f>
        <v/>
      </c>
    </row>
    <row r="118">
      <c r="A118" s="77" t="inlineStr">
        <is>
          <t>M1117</t>
        </is>
      </c>
      <c r="B118" s="77" t="inlineStr">
        <is>
          <t>Leonardo Soares</t>
        </is>
      </c>
      <c r="C118" s="77" t="inlineStr">
        <is>
          <t>M</t>
        </is>
      </c>
      <c r="D118" s="78" t="n">
        <v>28167</v>
      </c>
      <c r="E118" s="77">
        <f>DATEDIF(D118,IF(K118="",Calc!$B$7,K118),"y")</f>
        <v/>
      </c>
      <c r="F118" s="77">
        <f>LOOKUP(E118,{0,25,35,45,55},{"18-24","25-34","35-44","45-54","55+"})</f>
        <v/>
      </c>
      <c r="G118" s="77" t="inlineStr">
        <is>
          <t>Comercial</t>
        </is>
      </c>
      <c r="H118" s="77" t="inlineStr">
        <is>
          <t>Analista</t>
        </is>
      </c>
      <c r="I118" s="79" t="n">
        <v>4800</v>
      </c>
      <c r="J118" s="78" t="n">
        <v>41885</v>
      </c>
      <c r="K118" s="78" t="n"/>
      <c r="L118" s="77" t="inlineStr"/>
      <c r="M118" s="77" t="inlineStr">
        <is>
          <t>São Paulo</t>
        </is>
      </c>
      <c r="N118" s="77" t="n">
        <v>4.6</v>
      </c>
      <c r="O118" s="77">
        <f>IF(K118="","Ativo","Desligado")</f>
        <v/>
      </c>
      <c r="P118" s="77">
        <f>ROUND((IF(K118="",Calc!$B$7,K118)-J118)/365.25,1)</f>
        <v/>
      </c>
      <c r="Q118" s="77">
        <f>IF(OR(H118="Coordenação",H118="Gerência",H118="Diretoria"),"Sim","Não")</f>
        <v/>
      </c>
    </row>
    <row r="119">
      <c r="A119" s="77" t="inlineStr">
        <is>
          <t>M1118</t>
        </is>
      </c>
      <c r="B119" s="77" t="inlineStr">
        <is>
          <t>Marcelo Moreira</t>
        </is>
      </c>
      <c r="C119" s="77" t="inlineStr">
        <is>
          <t>M</t>
        </is>
      </c>
      <c r="D119" s="78" t="n">
        <v>37446</v>
      </c>
      <c r="E119" s="77">
        <f>DATEDIF(D119,IF(K119="",Calc!$B$7,K119),"y")</f>
        <v/>
      </c>
      <c r="F119" s="77">
        <f>LOOKUP(E119,{0,25,35,45,55},{"18-24","25-34","35-44","45-54","55+"})</f>
        <v/>
      </c>
      <c r="G119" s="77" t="inlineStr">
        <is>
          <t>Tecnologia</t>
        </is>
      </c>
      <c r="H119" s="77" t="inlineStr">
        <is>
          <t>Analista</t>
        </is>
      </c>
      <c r="I119" s="79" t="n">
        <v>8350</v>
      </c>
      <c r="J119" s="78" t="n">
        <v>41055</v>
      </c>
      <c r="K119" s="78" t="n"/>
      <c r="L119" s="77" t="inlineStr"/>
      <c r="M119" s="77" t="inlineStr">
        <is>
          <t>São Paulo</t>
        </is>
      </c>
      <c r="N119" s="77" t="n">
        <v>3.8</v>
      </c>
      <c r="O119" s="77">
        <f>IF(K119="","Ativo","Desligado")</f>
        <v/>
      </c>
      <c r="P119" s="77">
        <f>ROUND((IF(K119="",Calc!$B$7,K119)-J119)/365.25,1)</f>
        <v/>
      </c>
      <c r="Q119" s="77">
        <f>IF(OR(H119="Coordenação",H119="Gerência",H119="Diretoria"),"Sim","Não")</f>
        <v/>
      </c>
    </row>
    <row r="120">
      <c r="A120" s="77" t="inlineStr">
        <is>
          <t>M1119</t>
        </is>
      </c>
      <c r="B120" s="77" t="inlineStr">
        <is>
          <t>Samuel Costa</t>
        </is>
      </c>
      <c r="C120" s="77" t="inlineStr">
        <is>
          <t>M</t>
        </is>
      </c>
      <c r="D120" s="78" t="n">
        <v>35207</v>
      </c>
      <c r="E120" s="77">
        <f>DATEDIF(D120,IF(K120="",Calc!$B$7,K120),"y")</f>
        <v/>
      </c>
      <c r="F120" s="77">
        <f>LOOKUP(E120,{0,25,35,45,55},{"18-24","25-34","35-44","45-54","55+"})</f>
        <v/>
      </c>
      <c r="G120" s="77" t="inlineStr">
        <is>
          <t>Comercial</t>
        </is>
      </c>
      <c r="H120" s="77" t="inlineStr">
        <is>
          <t>Especialista</t>
        </is>
      </c>
      <c r="I120" s="79" t="n">
        <v>6900</v>
      </c>
      <c r="J120" s="78" t="n">
        <v>42946</v>
      </c>
      <c r="K120" s="78" t="n"/>
      <c r="L120" s="77" t="inlineStr"/>
      <c r="M120" s="77" t="inlineStr">
        <is>
          <t>São Paulo</t>
        </is>
      </c>
      <c r="N120" s="77" t="n">
        <v>3.4</v>
      </c>
      <c r="O120" s="77">
        <f>IF(K120="","Ativo","Desligado")</f>
        <v/>
      </c>
      <c r="P120" s="77">
        <f>ROUND((IF(K120="",Calc!$B$7,K120)-J120)/365.25,1)</f>
        <v/>
      </c>
      <c r="Q120" s="77">
        <f>IF(OR(H120="Coordenação",H120="Gerência",H120="Diretoria"),"Sim","Não")</f>
        <v/>
      </c>
    </row>
    <row r="121">
      <c r="A121" s="77" t="inlineStr">
        <is>
          <t>M1120</t>
        </is>
      </c>
      <c r="B121" s="77" t="inlineStr">
        <is>
          <t>Felipe Souza</t>
        </is>
      </c>
      <c r="C121" s="77" t="inlineStr">
        <is>
          <t>M</t>
        </is>
      </c>
      <c r="D121" s="78" t="n">
        <v>34565</v>
      </c>
      <c r="E121" s="77">
        <f>DATEDIF(D121,IF(K121="",Calc!$B$7,K121),"y")</f>
        <v/>
      </c>
      <c r="F121" s="77">
        <f>LOOKUP(E121,{0,25,35,45,55},{"18-24","25-34","35-44","45-54","55+"})</f>
        <v/>
      </c>
      <c r="G121" s="77" t="inlineStr">
        <is>
          <t>RH</t>
        </is>
      </c>
      <c r="H121" s="77" t="inlineStr">
        <is>
          <t>Gerência</t>
        </is>
      </c>
      <c r="I121" s="79" t="n">
        <v>12300</v>
      </c>
      <c r="J121" s="78" t="n">
        <v>43069</v>
      </c>
      <c r="K121" s="78" t="n"/>
      <c r="L121" s="77" t="inlineStr"/>
      <c r="M121" s="77" t="inlineStr">
        <is>
          <t>Curitiba</t>
        </is>
      </c>
      <c r="N121" s="77" t="n">
        <v>4.4</v>
      </c>
      <c r="O121" s="77">
        <f>IF(K121="","Ativo","Desligado")</f>
        <v/>
      </c>
      <c r="P121" s="77">
        <f>ROUND((IF(K121="",Calc!$B$7,K121)-J121)/365.25,1)</f>
        <v/>
      </c>
      <c r="Q121" s="77">
        <f>IF(OR(H121="Coordenação",H121="Gerência",H121="Diretoria"),"Sim","Não")</f>
        <v/>
      </c>
    </row>
    <row r="122">
      <c r="A122" s="77" t="inlineStr">
        <is>
          <t>M1121</t>
        </is>
      </c>
      <c r="B122" s="77" t="inlineStr">
        <is>
          <t>Renata Gomes</t>
        </is>
      </c>
      <c r="C122" s="77" t="inlineStr">
        <is>
          <t>F</t>
        </is>
      </c>
      <c r="D122" s="78" t="n">
        <v>26972</v>
      </c>
      <c r="E122" s="77">
        <f>DATEDIF(D122,IF(K122="",Calc!$B$7,K122),"y")</f>
        <v/>
      </c>
      <c r="F122" s="77">
        <f>LOOKUP(E122,{0,25,35,45,55},{"18-24","25-34","35-44","45-54","55+"})</f>
        <v/>
      </c>
      <c r="G122" s="77" t="inlineStr">
        <is>
          <t>Operações</t>
        </is>
      </c>
      <c r="H122" s="77" t="inlineStr">
        <is>
          <t>Analista</t>
        </is>
      </c>
      <c r="I122" s="79" t="n">
        <v>3550</v>
      </c>
      <c r="J122" s="78" t="n">
        <v>45668</v>
      </c>
      <c r="K122" s="78" t="n"/>
      <c r="L122" s="77" t="inlineStr"/>
      <c r="M122" s="77" t="inlineStr">
        <is>
          <t>São Paulo</t>
        </is>
      </c>
      <c r="N122" s="77" t="n">
        <v>4</v>
      </c>
      <c r="O122" s="77">
        <f>IF(K122="","Ativo","Desligado")</f>
        <v/>
      </c>
      <c r="P122" s="77">
        <f>ROUND((IF(K122="",Calc!$B$7,K122)-J122)/365.25,1)</f>
        <v/>
      </c>
      <c r="Q122" s="77">
        <f>IF(OR(H122="Coordenação",H122="Gerência",H122="Diretoria"),"Sim","Não")</f>
        <v/>
      </c>
    </row>
    <row r="123">
      <c r="A123" s="77" t="inlineStr">
        <is>
          <t>M1122</t>
        </is>
      </c>
      <c r="B123" s="77" t="inlineStr">
        <is>
          <t>Leonardo Oliveira</t>
        </is>
      </c>
      <c r="C123" s="77" t="inlineStr">
        <is>
          <t>M</t>
        </is>
      </c>
      <c r="D123" s="78" t="n">
        <v>31250</v>
      </c>
      <c r="E123" s="77">
        <f>DATEDIF(D123,IF(K123="",Calc!$B$7,K123),"y")</f>
        <v/>
      </c>
      <c r="F123" s="77">
        <f>LOOKUP(E123,{0,25,35,45,55},{"18-24","25-34","35-44","45-54","55+"})</f>
        <v/>
      </c>
      <c r="G123" s="77" t="inlineStr">
        <is>
          <t>Operações</t>
        </is>
      </c>
      <c r="H123" s="77" t="inlineStr">
        <is>
          <t>Coordenação</t>
        </is>
      </c>
      <c r="I123" s="79" t="n">
        <v>7000</v>
      </c>
      <c r="J123" s="78" t="n">
        <v>46028</v>
      </c>
      <c r="K123" s="78" t="n"/>
      <c r="L123" s="77" t="inlineStr"/>
      <c r="M123" s="77" t="inlineStr">
        <is>
          <t>Curitiba</t>
        </is>
      </c>
      <c r="N123" s="77" t="n">
        <v>2.9</v>
      </c>
      <c r="O123" s="77">
        <f>IF(K123="","Ativo","Desligado")</f>
        <v/>
      </c>
      <c r="P123" s="77">
        <f>ROUND((IF(K123="",Calc!$B$7,K123)-J123)/365.25,1)</f>
        <v/>
      </c>
      <c r="Q123" s="77">
        <f>IF(OR(H123="Coordenação",H123="Gerência",H123="Diretoria"),"Sim","Não")</f>
        <v/>
      </c>
    </row>
    <row r="124">
      <c r="A124" s="77" t="inlineStr">
        <is>
          <t>M1123</t>
        </is>
      </c>
      <c r="B124" s="77" t="inlineStr">
        <is>
          <t>Eduarda Barbosa</t>
        </is>
      </c>
      <c r="C124" s="77" t="inlineStr">
        <is>
          <t>F</t>
        </is>
      </c>
      <c r="D124" s="78" t="n">
        <v>34796</v>
      </c>
      <c r="E124" s="77">
        <f>DATEDIF(D124,IF(K124="",Calc!$B$7,K124),"y")</f>
        <v/>
      </c>
      <c r="F124" s="77">
        <f>LOOKUP(E124,{0,25,35,45,55},{"18-24","25-34","35-44","45-54","55+"})</f>
        <v/>
      </c>
      <c r="G124" s="77" t="inlineStr">
        <is>
          <t>Comercial</t>
        </is>
      </c>
      <c r="H124" s="77" t="inlineStr">
        <is>
          <t>Analista</t>
        </is>
      </c>
      <c r="I124" s="79" t="n">
        <v>4800</v>
      </c>
      <c r="J124" s="78" t="n">
        <v>46257</v>
      </c>
      <c r="K124" s="78" t="n"/>
      <c r="L124" s="77" t="inlineStr"/>
      <c r="M124" s="77" t="inlineStr">
        <is>
          <t>Curitiba</t>
        </is>
      </c>
      <c r="N124" s="77" t="n">
        <v>3</v>
      </c>
      <c r="O124" s="77">
        <f>IF(K124="","Ativo","Desligado")</f>
        <v/>
      </c>
      <c r="P124" s="77">
        <f>ROUND((IF(K124="",Calc!$B$7,K124)-J124)/365.25,1)</f>
        <v/>
      </c>
      <c r="Q124" s="77">
        <f>IF(OR(H124="Coordenação",H124="Gerência",H124="Diretoria"),"Sim","Não")</f>
        <v/>
      </c>
    </row>
    <row r="125">
      <c r="A125" s="77" t="inlineStr">
        <is>
          <t>M1124</t>
        </is>
      </c>
      <c r="B125" s="77" t="inlineStr">
        <is>
          <t>Rafael Fernandes</t>
        </is>
      </c>
      <c r="C125" s="77" t="inlineStr">
        <is>
          <t>M</t>
        </is>
      </c>
      <c r="D125" s="78" t="n">
        <v>33193</v>
      </c>
      <c r="E125" s="77">
        <f>DATEDIF(D125,IF(K125="",Calc!$B$7,K125),"y")</f>
        <v/>
      </c>
      <c r="F125" s="77">
        <f>LOOKUP(E125,{0,25,35,45,55},{"18-24","25-34","35-44","45-54","55+"})</f>
        <v/>
      </c>
      <c r="G125" s="77" t="inlineStr">
        <is>
          <t>Comercial</t>
        </is>
      </c>
      <c r="H125" s="77" t="inlineStr">
        <is>
          <t>Analista</t>
        </is>
      </c>
      <c r="I125" s="79" t="n">
        <v>4000</v>
      </c>
      <c r="J125" s="78" t="n">
        <v>46123</v>
      </c>
      <c r="K125" s="78" t="n"/>
      <c r="L125" s="77" t="inlineStr"/>
      <c r="M125" s="77" t="inlineStr">
        <is>
          <t>Curitiba</t>
        </is>
      </c>
      <c r="N125" s="77" t="n">
        <v>3.7</v>
      </c>
      <c r="O125" s="77">
        <f>IF(K125="","Ativo","Desligado")</f>
        <v/>
      </c>
      <c r="P125" s="77">
        <f>ROUND((IF(K125="",Calc!$B$7,K125)-J125)/365.25,1)</f>
        <v/>
      </c>
      <c r="Q125" s="77">
        <f>IF(OR(H125="Coordenação",H125="Gerência",H125="Diretoria"),"Sim","Não")</f>
        <v/>
      </c>
    </row>
    <row r="126">
      <c r="A126" s="77" t="inlineStr">
        <is>
          <t>M1125</t>
        </is>
      </c>
      <c r="B126" s="77" t="inlineStr">
        <is>
          <t>Igor Ferreira</t>
        </is>
      </c>
      <c r="C126" s="77" t="inlineStr">
        <is>
          <t>M</t>
        </is>
      </c>
      <c r="D126" s="78" t="n">
        <v>33943</v>
      </c>
      <c r="E126" s="77">
        <f>DATEDIF(D126,IF(K126="",Calc!$B$7,K126),"y")</f>
        <v/>
      </c>
      <c r="F126" s="77">
        <f>LOOKUP(E126,{0,25,35,45,55},{"18-24","25-34","35-44","45-54","55+"})</f>
        <v/>
      </c>
      <c r="G126" s="77" t="inlineStr">
        <is>
          <t>Comercial</t>
        </is>
      </c>
      <c r="H126" s="77" t="inlineStr">
        <is>
          <t>Analista</t>
        </is>
      </c>
      <c r="I126" s="79" t="n">
        <v>4400</v>
      </c>
      <c r="J126" s="78" t="n">
        <v>46018</v>
      </c>
      <c r="K126" s="78" t="n"/>
      <c r="L126" s="77" t="inlineStr"/>
      <c r="M126" s="77" t="inlineStr">
        <is>
          <t>São Paulo</t>
        </is>
      </c>
      <c r="N126" s="77" t="n">
        <v>3.9</v>
      </c>
      <c r="O126" s="77">
        <f>IF(K126="","Ativo","Desligado")</f>
        <v/>
      </c>
      <c r="P126" s="77">
        <f>ROUND((IF(K126="",Calc!$B$7,K126)-J126)/365.25,1)</f>
        <v/>
      </c>
      <c r="Q126" s="77">
        <f>IF(OR(H126="Coordenação",H126="Gerência",H126="Diretoria"),"Sim","Não")</f>
        <v/>
      </c>
    </row>
    <row r="127">
      <c r="A127" s="77" t="inlineStr">
        <is>
          <t>M1126</t>
        </is>
      </c>
      <c r="B127" s="77" t="inlineStr">
        <is>
          <t>Vanessa Silva</t>
        </is>
      </c>
      <c r="C127" s="77" t="inlineStr">
        <is>
          <t>F</t>
        </is>
      </c>
      <c r="D127" s="78" t="n">
        <v>34043</v>
      </c>
      <c r="E127" s="77">
        <f>DATEDIF(D127,IF(K127="",Calc!$B$7,K127),"y")</f>
        <v/>
      </c>
      <c r="F127" s="77">
        <f>LOOKUP(E127,{0,25,35,45,55},{"18-24","25-34","35-44","45-54","55+"})</f>
        <v/>
      </c>
      <c r="G127" s="77" t="inlineStr">
        <is>
          <t>Operações</t>
        </is>
      </c>
      <c r="H127" s="77" t="inlineStr">
        <is>
          <t>Analista</t>
        </is>
      </c>
      <c r="I127" s="79" t="n">
        <v>3000</v>
      </c>
      <c r="J127" s="78" t="n">
        <v>45840</v>
      </c>
      <c r="K127" s="78" t="n"/>
      <c r="L127" s="77" t="inlineStr"/>
      <c r="M127" s="77" t="inlineStr">
        <is>
          <t>Curitiba</t>
        </is>
      </c>
      <c r="N127" s="77" t="n">
        <v>4.2</v>
      </c>
      <c r="O127" s="77">
        <f>IF(K127="","Ativo","Desligado")</f>
        <v/>
      </c>
      <c r="P127" s="77">
        <f>ROUND((IF(K127="",Calc!$B$7,K127)-J127)/365.25,1)</f>
        <v/>
      </c>
      <c r="Q127" s="77">
        <f>IF(OR(H127="Coordenação",H127="Gerência",H127="Diretoria"),"Sim","Não")</f>
        <v/>
      </c>
    </row>
    <row r="128">
      <c r="A128" s="77" t="inlineStr">
        <is>
          <t>M1127</t>
        </is>
      </c>
      <c r="B128" s="77" t="inlineStr">
        <is>
          <t>João Martins</t>
        </is>
      </c>
      <c r="C128" s="77" t="inlineStr">
        <is>
          <t>M</t>
        </is>
      </c>
      <c r="D128" s="78" t="n">
        <v>35613</v>
      </c>
      <c r="E128" s="77">
        <f>DATEDIF(D128,IF(K128="",Calc!$B$7,K128),"y")</f>
        <v/>
      </c>
      <c r="F128" s="77">
        <f>LOOKUP(E128,{0,25,35,45,55},{"18-24","25-34","35-44","45-54","55+"})</f>
        <v/>
      </c>
      <c r="G128" s="77" t="inlineStr">
        <is>
          <t>Tecnologia</t>
        </is>
      </c>
      <c r="H128" s="77" t="inlineStr">
        <is>
          <t>Gerência</t>
        </is>
      </c>
      <c r="I128" s="79" t="n">
        <v>19500</v>
      </c>
      <c r="J128" s="78" t="n">
        <v>46055</v>
      </c>
      <c r="K128" s="78" t="n"/>
      <c r="L128" s="77" t="inlineStr"/>
      <c r="M128" s="77" t="inlineStr">
        <is>
          <t>São Paulo</t>
        </is>
      </c>
      <c r="N128" s="77" t="n">
        <v>3.9</v>
      </c>
      <c r="O128" s="77">
        <f>IF(K128="","Ativo","Desligado")</f>
        <v/>
      </c>
      <c r="P128" s="77">
        <f>ROUND((IF(K128="",Calc!$B$7,K128)-J128)/365.25,1)</f>
        <v/>
      </c>
      <c r="Q128" s="77">
        <f>IF(OR(H128="Coordenação",H128="Gerência",H128="Diretoria"),"Sim","Não")</f>
        <v/>
      </c>
    </row>
    <row r="129">
      <c r="A129" s="77" t="inlineStr">
        <is>
          <t>M1128</t>
        </is>
      </c>
      <c r="B129" s="77" t="inlineStr">
        <is>
          <t>Felipe Soares</t>
        </is>
      </c>
      <c r="C129" s="77" t="inlineStr">
        <is>
          <t>M</t>
        </is>
      </c>
      <c r="D129" s="78" t="n">
        <v>35074</v>
      </c>
      <c r="E129" s="77">
        <f>DATEDIF(D129,IF(K129="",Calc!$B$7,K129),"y")</f>
        <v/>
      </c>
      <c r="F129" s="77">
        <f>LOOKUP(E129,{0,25,35,45,55},{"18-24","25-34","35-44","45-54","55+"})</f>
        <v/>
      </c>
      <c r="G129" s="77" t="inlineStr">
        <is>
          <t>Financeiro</t>
        </is>
      </c>
      <c r="H129" s="77" t="inlineStr">
        <is>
          <t>Coordenação</t>
        </is>
      </c>
      <c r="I129" s="79" t="n">
        <v>9600</v>
      </c>
      <c r="J129" s="78" t="n">
        <v>45766</v>
      </c>
      <c r="K129" s="78" t="n"/>
      <c r="L129" s="77" t="inlineStr"/>
      <c r="M129" s="77" t="inlineStr">
        <is>
          <t>Curitiba</t>
        </is>
      </c>
      <c r="N129" s="77" t="n">
        <v>4</v>
      </c>
      <c r="O129" s="77">
        <f>IF(K129="","Ativo","Desligado")</f>
        <v/>
      </c>
      <c r="P129" s="77">
        <f>ROUND((IF(K129="",Calc!$B$7,K129)-J129)/365.25,1)</f>
        <v/>
      </c>
      <c r="Q129" s="77">
        <f>IF(OR(H129="Coordenação",H129="Gerência",H129="Diretoria"),"Sim","Não")</f>
        <v/>
      </c>
    </row>
    <row r="130">
      <c r="A130" s="77" t="inlineStr">
        <is>
          <t>M1129</t>
        </is>
      </c>
      <c r="B130" s="77" t="inlineStr">
        <is>
          <t>Patrícia Ribeiro</t>
        </is>
      </c>
      <c r="C130" s="77" t="inlineStr">
        <is>
          <t>F</t>
        </is>
      </c>
      <c r="D130" s="78" t="n">
        <v>37251</v>
      </c>
      <c r="E130" s="77">
        <f>DATEDIF(D130,IF(K130="",Calc!$B$7,K130),"y")</f>
        <v/>
      </c>
      <c r="F130" s="77">
        <f>LOOKUP(E130,{0,25,35,45,55},{"18-24","25-34","35-44","45-54","55+"})</f>
        <v/>
      </c>
      <c r="G130" s="77" t="inlineStr">
        <is>
          <t>Financeiro</t>
        </is>
      </c>
      <c r="H130" s="77" t="inlineStr">
        <is>
          <t>Analista</t>
        </is>
      </c>
      <c r="I130" s="79" t="n">
        <v>5200</v>
      </c>
      <c r="J130" s="78" t="n">
        <v>45729</v>
      </c>
      <c r="K130" s="78" t="n"/>
      <c r="L130" s="77" t="inlineStr"/>
      <c r="M130" s="77" t="inlineStr">
        <is>
          <t>São Paulo</t>
        </is>
      </c>
      <c r="N130" s="77" t="n">
        <v>4.2</v>
      </c>
      <c r="O130" s="77">
        <f>IF(K130="","Ativo","Desligado")</f>
        <v/>
      </c>
      <c r="P130" s="77">
        <f>ROUND((IF(K130="",Calc!$B$7,K130)-J130)/365.25,1)</f>
        <v/>
      </c>
      <c r="Q130" s="77">
        <f>IF(OR(H130="Coordenação",H130="Gerência",H130="Diretoria"),"Sim","Não")</f>
        <v/>
      </c>
    </row>
    <row r="131">
      <c r="A131" s="77" t="inlineStr">
        <is>
          <t>M1130</t>
        </is>
      </c>
      <c r="B131" s="77" t="inlineStr">
        <is>
          <t>Marcelo Barbosa</t>
        </is>
      </c>
      <c r="C131" s="77" t="inlineStr">
        <is>
          <t>M</t>
        </is>
      </c>
      <c r="D131" s="78" t="n">
        <v>30786</v>
      </c>
      <c r="E131" s="77">
        <f>DATEDIF(D131,IF(K131="",Calc!$B$7,K131),"y")</f>
        <v/>
      </c>
      <c r="F131" s="77">
        <f>LOOKUP(E131,{0,25,35,45,55},{"18-24","25-34","35-44","45-54","55+"})</f>
        <v/>
      </c>
      <c r="G131" s="77" t="inlineStr">
        <is>
          <t>Financeiro</t>
        </is>
      </c>
      <c r="H131" s="77" t="inlineStr">
        <is>
          <t>Analista</t>
        </is>
      </c>
      <c r="I131" s="79" t="n">
        <v>5050</v>
      </c>
      <c r="J131" s="78" t="n">
        <v>45981</v>
      </c>
      <c r="K131" s="78" t="n"/>
      <c r="L131" s="77" t="inlineStr"/>
      <c r="M131" s="77" t="inlineStr">
        <is>
          <t>Curitiba</t>
        </is>
      </c>
      <c r="N131" s="77" t="n">
        <v>4.5</v>
      </c>
      <c r="O131" s="77">
        <f>IF(K131="","Ativo","Desligado")</f>
        <v/>
      </c>
      <c r="P131" s="77">
        <f>ROUND((IF(K131="",Calc!$B$7,K131)-J131)/365.25,1)</f>
        <v/>
      </c>
      <c r="Q131" s="77">
        <f>IF(OR(H131="Coordenação",H131="Gerência",H131="Diretoria"),"Sim","Não")</f>
        <v/>
      </c>
    </row>
    <row r="132">
      <c r="A132" s="77" t="inlineStr">
        <is>
          <t>M1131</t>
        </is>
      </c>
      <c r="B132" s="77" t="inlineStr">
        <is>
          <t>Camila Soares</t>
        </is>
      </c>
      <c r="C132" s="77" t="inlineStr">
        <is>
          <t>F</t>
        </is>
      </c>
      <c r="D132" s="78" t="n">
        <v>33361</v>
      </c>
      <c r="E132" s="77">
        <f>DATEDIF(D132,IF(K132="",Calc!$B$7,K132),"y")</f>
        <v/>
      </c>
      <c r="F132" s="77">
        <f>LOOKUP(E132,{0,25,35,45,55},{"18-24","25-34","35-44","45-54","55+"})</f>
        <v/>
      </c>
      <c r="G132" s="77" t="inlineStr">
        <is>
          <t>Operações</t>
        </is>
      </c>
      <c r="H132" s="77" t="inlineStr">
        <is>
          <t>Especialista</t>
        </is>
      </c>
      <c r="I132" s="79" t="n">
        <v>4650</v>
      </c>
      <c r="J132" s="78" t="n">
        <v>46118</v>
      </c>
      <c r="K132" s="78" t="n"/>
      <c r="L132" s="77" t="inlineStr"/>
      <c r="M132" s="77" t="inlineStr">
        <is>
          <t>São Paulo</t>
        </is>
      </c>
      <c r="N132" s="77" t="n">
        <v>3.4</v>
      </c>
      <c r="O132" s="77">
        <f>IF(K132="","Ativo","Desligado")</f>
        <v/>
      </c>
      <c r="P132" s="77">
        <f>ROUND((IF(K132="",Calc!$B$7,K132)-J132)/365.25,1)</f>
        <v/>
      </c>
      <c r="Q132" s="77">
        <f>IF(OR(H132="Coordenação",H132="Gerência",H132="Diretoria"),"Sim","Não")</f>
        <v/>
      </c>
    </row>
    <row r="133">
      <c r="A133" s="77" t="inlineStr">
        <is>
          <t>M1132</t>
        </is>
      </c>
      <c r="B133" s="77" t="inlineStr">
        <is>
          <t>Tatiane Ferreira</t>
        </is>
      </c>
      <c r="C133" s="77" t="inlineStr">
        <is>
          <t>F</t>
        </is>
      </c>
      <c r="D133" s="78" t="n">
        <v>38818</v>
      </c>
      <c r="E133" s="77">
        <f>DATEDIF(D133,IF(K133="",Calc!$B$7,K133),"y")</f>
        <v/>
      </c>
      <c r="F133" s="77">
        <f>LOOKUP(E133,{0,25,35,45,55},{"18-24","25-34","35-44","45-54","55+"})</f>
        <v/>
      </c>
      <c r="G133" s="77" t="inlineStr">
        <is>
          <t>Tecnologia</t>
        </is>
      </c>
      <c r="H133" s="77" t="inlineStr">
        <is>
          <t>Assistente</t>
        </is>
      </c>
      <c r="I133" s="79" t="n">
        <v>5200</v>
      </c>
      <c r="J133" s="78" t="n">
        <v>46007</v>
      </c>
      <c r="K133" s="78" t="n">
        <v>46246</v>
      </c>
      <c r="L133" s="77" t="inlineStr">
        <is>
          <t>Dispensa</t>
        </is>
      </c>
      <c r="M133" s="77" t="inlineStr">
        <is>
          <t>Recife</t>
        </is>
      </c>
      <c r="N133" s="77" t="n">
        <v>4</v>
      </c>
      <c r="O133" s="77">
        <f>IF(K133="","Ativo","Desligado")</f>
        <v/>
      </c>
      <c r="P133" s="77">
        <f>ROUND((IF(K133="",Calc!$B$7,K133)-J133)/365.25,1)</f>
        <v/>
      </c>
      <c r="Q133" s="77">
        <f>IF(OR(H133="Coordenação",H133="Gerência",H133="Diretoria"),"Sim","Não")</f>
        <v/>
      </c>
    </row>
    <row r="134">
      <c r="A134" s="77" t="inlineStr">
        <is>
          <t>M1133</t>
        </is>
      </c>
      <c r="B134" s="77" t="inlineStr">
        <is>
          <t>João Pereira</t>
        </is>
      </c>
      <c r="C134" s="77" t="inlineStr">
        <is>
          <t>M</t>
        </is>
      </c>
      <c r="D134" s="78" t="n">
        <v>37384</v>
      </c>
      <c r="E134" s="77">
        <f>DATEDIF(D134,IF(K134="",Calc!$B$7,K134),"y")</f>
        <v/>
      </c>
      <c r="F134" s="77">
        <f>LOOKUP(E134,{0,25,35,45,55},{"18-24","25-34","35-44","45-54","55+"})</f>
        <v/>
      </c>
      <c r="G134" s="77" t="inlineStr">
        <is>
          <t>Operações</t>
        </is>
      </c>
      <c r="H134" s="77" t="inlineStr">
        <is>
          <t>Analista</t>
        </is>
      </c>
      <c r="I134" s="79" t="n">
        <v>3350</v>
      </c>
      <c r="J134" s="78" t="n">
        <v>45864</v>
      </c>
      <c r="K134" s="78" t="n"/>
      <c r="L134" s="77" t="inlineStr"/>
      <c r="M134" s="77" t="inlineStr">
        <is>
          <t>Curitiba</t>
        </is>
      </c>
      <c r="N134" s="77" t="n">
        <v>3.6</v>
      </c>
      <c r="O134" s="77">
        <f>IF(K134="","Ativo","Desligado")</f>
        <v/>
      </c>
      <c r="P134" s="77">
        <f>ROUND((IF(K134="",Calc!$B$7,K134)-J134)/365.25,1)</f>
        <v/>
      </c>
      <c r="Q134" s="77">
        <f>IF(OR(H134="Coordenação",H134="Gerência",H134="Diretoria"),"Sim","Não")</f>
        <v/>
      </c>
    </row>
    <row r="135">
      <c r="A135" s="77" t="inlineStr">
        <is>
          <t>M1134</t>
        </is>
      </c>
      <c r="B135" s="77" t="inlineStr">
        <is>
          <t>Juliana Alves</t>
        </is>
      </c>
      <c r="C135" s="77" t="inlineStr">
        <is>
          <t>F</t>
        </is>
      </c>
      <c r="D135" s="78" t="n">
        <v>34318</v>
      </c>
      <c r="E135" s="77">
        <f>DATEDIF(D135,IF(K135="",Calc!$B$7,K135),"y")</f>
        <v/>
      </c>
      <c r="F135" s="77">
        <f>LOOKUP(E135,{0,25,35,45,55},{"18-24","25-34","35-44","45-54","55+"})</f>
        <v/>
      </c>
      <c r="G135" s="77" t="inlineStr">
        <is>
          <t>Tecnologia</t>
        </is>
      </c>
      <c r="H135" s="77" t="inlineStr">
        <is>
          <t>Assistente</t>
        </is>
      </c>
      <c r="I135" s="79" t="n">
        <v>5400</v>
      </c>
      <c r="J135" s="78" t="n">
        <v>45900</v>
      </c>
      <c r="K135" s="78" t="n"/>
      <c r="L135" s="77" t="inlineStr"/>
      <c r="M135" s="77" t="inlineStr">
        <is>
          <t>Recife</t>
        </is>
      </c>
      <c r="N135" s="77" t="n">
        <v>4.6</v>
      </c>
      <c r="O135" s="77">
        <f>IF(K135="","Ativo","Desligado")</f>
        <v/>
      </c>
      <c r="P135" s="77">
        <f>ROUND((IF(K135="",Calc!$B$7,K135)-J135)/365.25,1)</f>
        <v/>
      </c>
      <c r="Q135" s="77">
        <f>IF(OR(H135="Coordenação",H135="Gerência",H135="Diretoria"),"Sim","Não")</f>
        <v/>
      </c>
    </row>
    <row r="136">
      <c r="A136" s="77" t="inlineStr">
        <is>
          <t>M1135</t>
        </is>
      </c>
      <c r="B136" s="77" t="inlineStr">
        <is>
          <t>Fernanda Vieira</t>
        </is>
      </c>
      <c r="C136" s="77" t="inlineStr">
        <is>
          <t>F</t>
        </is>
      </c>
      <c r="D136" s="78" t="n">
        <v>33381</v>
      </c>
      <c r="E136" s="77">
        <f>DATEDIF(D136,IF(K136="",Calc!$B$7,K136),"y")</f>
        <v/>
      </c>
      <c r="F136" s="77">
        <f>LOOKUP(E136,{0,25,35,45,55},{"18-24","25-34","35-44","45-54","55+"})</f>
        <v/>
      </c>
      <c r="G136" s="77" t="inlineStr">
        <is>
          <t>Diretoria</t>
        </is>
      </c>
      <c r="H136" s="77" t="inlineStr">
        <is>
          <t>Diretoria</t>
        </is>
      </c>
      <c r="I136" s="79" t="n">
        <v>24700</v>
      </c>
      <c r="J136" s="78" t="n">
        <v>46232</v>
      </c>
      <c r="K136" s="78" t="n"/>
      <c r="L136" s="77" t="inlineStr"/>
      <c r="M136" s="77" t="inlineStr">
        <is>
          <t>Recife</t>
        </is>
      </c>
      <c r="N136" s="77" t="n">
        <v>3.3</v>
      </c>
      <c r="O136" s="77">
        <f>IF(K136="","Ativo","Desligado")</f>
        <v/>
      </c>
      <c r="P136" s="77">
        <f>ROUND((IF(K136="",Calc!$B$7,K136)-J136)/365.25,1)</f>
        <v/>
      </c>
      <c r="Q136" s="77">
        <f>IF(OR(H136="Coordenação",H136="Gerência",H136="Diretoria"),"Sim","Não")</f>
        <v/>
      </c>
    </row>
    <row r="137">
      <c r="A137" s="77" t="inlineStr">
        <is>
          <t>M1136</t>
        </is>
      </c>
      <c r="B137" s="77" t="inlineStr">
        <is>
          <t>Vanessa Carvalho</t>
        </is>
      </c>
      <c r="C137" s="77" t="inlineStr">
        <is>
          <t>F</t>
        </is>
      </c>
      <c r="D137" s="78" t="n">
        <v>37126</v>
      </c>
      <c r="E137" s="77">
        <f>DATEDIF(D137,IF(K137="",Calc!$B$7,K137),"y")</f>
        <v/>
      </c>
      <c r="F137" s="77">
        <f>LOOKUP(E137,{0,25,35,45,55},{"18-24","25-34","35-44","45-54","55+"})</f>
        <v/>
      </c>
      <c r="G137" s="77" t="inlineStr">
        <is>
          <t>Operações</t>
        </is>
      </c>
      <c r="H137" s="77" t="inlineStr">
        <is>
          <t>Especialista</t>
        </is>
      </c>
      <c r="I137" s="79" t="n">
        <v>4350</v>
      </c>
      <c r="J137" s="78" t="n">
        <v>45671</v>
      </c>
      <c r="K137" s="78" t="n"/>
      <c r="L137" s="77" t="inlineStr"/>
      <c r="M137" s="77" t="inlineStr">
        <is>
          <t>Belo Horizonte</t>
        </is>
      </c>
      <c r="N137" s="77" t="n">
        <v>3.5</v>
      </c>
      <c r="O137" s="77">
        <f>IF(K137="","Ativo","Desligado")</f>
        <v/>
      </c>
      <c r="P137" s="77">
        <f>ROUND((IF(K137="",Calc!$B$7,K137)-J137)/365.25,1)</f>
        <v/>
      </c>
      <c r="Q137" s="77">
        <f>IF(OR(H137="Coordenação",H137="Gerência",H137="Diretoria"),"Sim","Não")</f>
        <v/>
      </c>
    </row>
    <row r="138">
      <c r="A138" s="77" t="inlineStr">
        <is>
          <t>M1137</t>
        </is>
      </c>
      <c r="B138" s="77" t="inlineStr">
        <is>
          <t>Leonardo Silva</t>
        </is>
      </c>
      <c r="C138" s="77" t="inlineStr">
        <is>
          <t>M</t>
        </is>
      </c>
      <c r="D138" s="78" t="n">
        <v>27857</v>
      </c>
      <c r="E138" s="77">
        <f>DATEDIF(D138,IF(K138="",Calc!$B$7,K138),"y")</f>
        <v/>
      </c>
      <c r="F138" s="77">
        <f>LOOKUP(E138,{0,25,35,45,55},{"18-24","25-34","35-44","45-54","55+"})</f>
        <v/>
      </c>
      <c r="G138" s="77" t="inlineStr">
        <is>
          <t>Comercial</t>
        </is>
      </c>
      <c r="H138" s="77" t="inlineStr">
        <is>
          <t>Assistente</t>
        </is>
      </c>
      <c r="I138" s="79" t="n">
        <v>3100</v>
      </c>
      <c r="J138" s="78" t="n">
        <v>45943</v>
      </c>
      <c r="K138" s="78" t="n"/>
      <c r="L138" s="77" t="inlineStr"/>
      <c r="M138" s="77" t="inlineStr">
        <is>
          <t>São Paulo</t>
        </is>
      </c>
      <c r="N138" s="77" t="n">
        <v>3.9</v>
      </c>
      <c r="O138" s="77">
        <f>IF(K138="","Ativo","Desligado")</f>
        <v/>
      </c>
      <c r="P138" s="77">
        <f>ROUND((IF(K138="",Calc!$B$7,K138)-J138)/365.25,1)</f>
        <v/>
      </c>
      <c r="Q138" s="77">
        <f>IF(OR(H138="Coordenação",H138="Gerência",H138="Diretoria"),"Sim","Não")</f>
        <v/>
      </c>
    </row>
    <row r="139">
      <c r="A139" s="77" t="inlineStr">
        <is>
          <t>M1138</t>
        </is>
      </c>
      <c r="B139" s="77" t="inlineStr">
        <is>
          <t>Ana Nunes</t>
        </is>
      </c>
      <c r="C139" s="77" t="inlineStr">
        <is>
          <t>F</t>
        </is>
      </c>
      <c r="D139" s="78" t="n">
        <v>37190</v>
      </c>
      <c r="E139" s="77">
        <f>DATEDIF(D139,IF(K139="",Calc!$B$7,K139),"y")</f>
        <v/>
      </c>
      <c r="F139" s="77">
        <f>LOOKUP(E139,{0,25,35,45,55},{"18-24","25-34","35-44","45-54","55+"})</f>
        <v/>
      </c>
      <c r="G139" s="77" t="inlineStr">
        <is>
          <t>RH</t>
        </is>
      </c>
      <c r="H139" s="77" t="inlineStr">
        <is>
          <t>Assistente</t>
        </is>
      </c>
      <c r="I139" s="79" t="n">
        <v>3300</v>
      </c>
      <c r="J139" s="78" t="n">
        <v>46213</v>
      </c>
      <c r="K139" s="78" t="n"/>
      <c r="L139" s="77" t="inlineStr"/>
      <c r="M139" s="77" t="inlineStr">
        <is>
          <t>São Paulo</t>
        </is>
      </c>
      <c r="N139" s="77" t="n">
        <v>3.7</v>
      </c>
      <c r="O139" s="77">
        <f>IF(K139="","Ativo","Desligado")</f>
        <v/>
      </c>
      <c r="P139" s="77">
        <f>ROUND((IF(K139="",Calc!$B$7,K139)-J139)/365.25,1)</f>
        <v/>
      </c>
      <c r="Q139" s="77">
        <f>IF(OR(H139="Coordenação",H139="Gerência",H139="Diretoria"),"Sim","Não")</f>
        <v/>
      </c>
    </row>
    <row r="140">
      <c r="A140" s="77" t="inlineStr">
        <is>
          <t>M1139</t>
        </is>
      </c>
      <c r="B140" s="77" t="inlineStr">
        <is>
          <t>Bruno Gomes</t>
        </is>
      </c>
      <c r="C140" s="77" t="inlineStr">
        <is>
          <t>M</t>
        </is>
      </c>
      <c r="D140" s="78" t="n">
        <v>26724</v>
      </c>
      <c r="E140" s="77">
        <f>DATEDIF(D140,IF(K140="",Calc!$B$7,K140),"y")</f>
        <v/>
      </c>
      <c r="F140" s="77">
        <f>LOOKUP(E140,{0,25,35,45,55},{"18-24","25-34","35-44","45-54","55+"})</f>
        <v/>
      </c>
      <c r="G140" s="77" t="inlineStr">
        <is>
          <t>Tecnologia</t>
        </is>
      </c>
      <c r="H140" s="77" t="inlineStr">
        <is>
          <t>Analista</t>
        </is>
      </c>
      <c r="I140" s="79" t="n">
        <v>8850</v>
      </c>
      <c r="J140" s="78" t="n">
        <v>46108</v>
      </c>
      <c r="K140" s="78" t="n"/>
      <c r="L140" s="77" t="inlineStr"/>
      <c r="M140" s="77" t="inlineStr">
        <is>
          <t>Curitiba</t>
        </is>
      </c>
      <c r="N140" s="77" t="n">
        <v>4.8</v>
      </c>
      <c r="O140" s="77">
        <f>IF(K140="","Ativo","Desligado")</f>
        <v/>
      </c>
      <c r="P140" s="77">
        <f>ROUND((IF(K140="",Calc!$B$7,K140)-J140)/365.25,1)</f>
        <v/>
      </c>
      <c r="Q140" s="77">
        <f>IF(OR(H140="Coordenação",H140="Gerência",H140="Diretoria"),"Sim","Não")</f>
        <v/>
      </c>
    </row>
    <row r="141">
      <c r="A141" s="77" t="inlineStr">
        <is>
          <t>M1140</t>
        </is>
      </c>
      <c r="B141" s="77" t="inlineStr">
        <is>
          <t>Fernanda Dias</t>
        </is>
      </c>
      <c r="C141" s="77" t="inlineStr">
        <is>
          <t>F</t>
        </is>
      </c>
      <c r="D141" s="78" t="n">
        <v>35791</v>
      </c>
      <c r="E141" s="77">
        <f>DATEDIF(D141,IF(K141="",Calc!$B$7,K141),"y")</f>
        <v/>
      </c>
      <c r="F141" s="77">
        <f>LOOKUP(E141,{0,25,35,45,55},{"18-24","25-34","35-44","45-54","55+"})</f>
        <v/>
      </c>
      <c r="G141" s="77" t="inlineStr">
        <is>
          <t>Operações</t>
        </is>
      </c>
      <c r="H141" s="77" t="inlineStr">
        <is>
          <t>Assistente</t>
        </is>
      </c>
      <c r="I141" s="79" t="n">
        <v>2450</v>
      </c>
      <c r="J141" s="78" t="n">
        <v>45893</v>
      </c>
      <c r="K141" s="78" t="n"/>
      <c r="L141" s="77" t="inlineStr"/>
      <c r="M141" s="77" t="inlineStr">
        <is>
          <t>São Paulo</t>
        </is>
      </c>
      <c r="N141" s="77" t="n">
        <v>3.2</v>
      </c>
      <c r="O141" s="77">
        <f>IF(K141="","Ativo","Desligado")</f>
        <v/>
      </c>
      <c r="P141" s="77">
        <f>ROUND((IF(K141="",Calc!$B$7,K141)-J141)/365.25,1)</f>
        <v/>
      </c>
      <c r="Q141" s="77">
        <f>IF(OR(H141="Coordenação",H141="Gerência",H141="Diretoria"),"Sim","Não")</f>
        <v/>
      </c>
    </row>
    <row r="142">
      <c r="A142" s="77" t="inlineStr">
        <is>
          <t>M1141</t>
        </is>
      </c>
      <c r="B142" s="77" t="inlineStr">
        <is>
          <t>Rafael Soares</t>
        </is>
      </c>
      <c r="C142" s="77" t="inlineStr">
        <is>
          <t>M</t>
        </is>
      </c>
      <c r="D142" s="78" t="n">
        <v>34508</v>
      </c>
      <c r="E142" s="77">
        <f>DATEDIF(D142,IF(K142="",Calc!$B$7,K142),"y")</f>
        <v/>
      </c>
      <c r="F142" s="77">
        <f>LOOKUP(E142,{0,25,35,45,55},{"18-24","25-34","35-44","45-54","55+"})</f>
        <v/>
      </c>
      <c r="G142" s="77" t="inlineStr">
        <is>
          <t>Operações</t>
        </is>
      </c>
      <c r="H142" s="77" t="inlineStr">
        <is>
          <t>Assistente</t>
        </is>
      </c>
      <c r="I142" s="79" t="n">
        <v>2500</v>
      </c>
      <c r="J142" s="78" t="n">
        <v>46198</v>
      </c>
      <c r="K142" s="78" t="n"/>
      <c r="L142" s="77" t="inlineStr"/>
      <c r="M142" s="77" t="inlineStr">
        <is>
          <t>São Paulo</t>
        </is>
      </c>
      <c r="N142" s="77" t="n">
        <v>3.3</v>
      </c>
      <c r="O142" s="77">
        <f>IF(K142="","Ativo","Desligado")</f>
        <v/>
      </c>
      <c r="P142" s="77">
        <f>ROUND((IF(K142="",Calc!$B$7,K142)-J142)/365.25,1)</f>
        <v/>
      </c>
      <c r="Q142" s="77">
        <f>IF(OR(H142="Coordenação",H142="Gerência",H142="Diretoria"),"Sim","Não")</f>
        <v/>
      </c>
    </row>
    <row r="143">
      <c r="A143" s="77" t="inlineStr">
        <is>
          <t>M1142</t>
        </is>
      </c>
      <c r="B143" s="77" t="inlineStr">
        <is>
          <t>Beatriz Ferreira</t>
        </is>
      </c>
      <c r="C143" s="77" t="inlineStr">
        <is>
          <t>F</t>
        </is>
      </c>
      <c r="D143" s="78" t="n">
        <v>31703</v>
      </c>
      <c r="E143" s="77">
        <f>DATEDIF(D143,IF(K143="",Calc!$B$7,K143),"y")</f>
        <v/>
      </c>
      <c r="F143" s="77">
        <f>LOOKUP(E143,{0,25,35,45,55},{"18-24","25-34","35-44","45-54","55+"})</f>
        <v/>
      </c>
      <c r="G143" s="77" t="inlineStr">
        <is>
          <t>Operações</t>
        </is>
      </c>
      <c r="H143" s="77" t="inlineStr">
        <is>
          <t>Assistente</t>
        </is>
      </c>
      <c r="I143" s="79" t="n">
        <v>2850</v>
      </c>
      <c r="J143" s="78" t="n">
        <v>46277</v>
      </c>
      <c r="K143" s="78" t="n"/>
      <c r="L143" s="77" t="inlineStr"/>
      <c r="M143" s="77" t="inlineStr">
        <is>
          <t>Recife</t>
        </is>
      </c>
      <c r="N143" s="77" t="n">
        <v>4.3</v>
      </c>
      <c r="O143" s="77">
        <f>IF(K143="","Ativo","Desligado")</f>
        <v/>
      </c>
      <c r="P143" s="77">
        <f>ROUND((IF(K143="",Calc!$B$7,K143)-J143)/365.25,1)</f>
        <v/>
      </c>
      <c r="Q143" s="77">
        <f>IF(OR(H143="Coordenação",H143="Gerência",H143="Diretoria"),"Sim","Não")</f>
        <v/>
      </c>
    </row>
    <row r="144">
      <c r="A144" s="77" t="inlineStr">
        <is>
          <t>M1143</t>
        </is>
      </c>
      <c r="B144" s="77" t="inlineStr">
        <is>
          <t>Natália Pereira</t>
        </is>
      </c>
      <c r="C144" s="77" t="inlineStr">
        <is>
          <t>F</t>
        </is>
      </c>
      <c r="D144" s="78" t="n">
        <v>31601</v>
      </c>
      <c r="E144" s="77">
        <f>DATEDIF(D144,IF(K144="",Calc!$B$7,K144),"y")</f>
        <v/>
      </c>
      <c r="F144" s="77">
        <f>LOOKUP(E144,{0,25,35,45,55},{"18-24","25-34","35-44","45-54","55+"})</f>
        <v/>
      </c>
      <c r="G144" s="77" t="inlineStr">
        <is>
          <t>Diretoria</t>
        </is>
      </c>
      <c r="H144" s="77" t="inlineStr">
        <is>
          <t>Diretoria</t>
        </is>
      </c>
      <c r="I144" s="79" t="n">
        <v>23650</v>
      </c>
      <c r="J144" s="78" t="n">
        <v>45818</v>
      </c>
      <c r="K144" s="78" t="n"/>
      <c r="L144" s="77" t="inlineStr"/>
      <c r="M144" s="77" t="inlineStr">
        <is>
          <t>São Paulo</t>
        </is>
      </c>
      <c r="N144" s="77" t="n">
        <v>3.9</v>
      </c>
      <c r="O144" s="77">
        <f>IF(K144="","Ativo","Desligado")</f>
        <v/>
      </c>
      <c r="P144" s="77">
        <f>ROUND((IF(K144="",Calc!$B$7,K144)-J144)/365.25,1)</f>
        <v/>
      </c>
      <c r="Q144" s="77">
        <f>IF(OR(H144="Coordenação",H144="Gerência",H144="Diretoria"),"Sim","Não")</f>
        <v/>
      </c>
    </row>
    <row r="145">
      <c r="A145" s="77" t="inlineStr">
        <is>
          <t>M1144</t>
        </is>
      </c>
      <c r="B145" s="77" t="inlineStr">
        <is>
          <t>Carolina Santos</t>
        </is>
      </c>
      <c r="C145" s="77" t="inlineStr">
        <is>
          <t>F</t>
        </is>
      </c>
      <c r="D145" s="78" t="n">
        <v>31038</v>
      </c>
      <c r="E145" s="77">
        <f>DATEDIF(D145,IF(K145="",Calc!$B$7,K145),"y")</f>
        <v/>
      </c>
      <c r="F145" s="77">
        <f>LOOKUP(E145,{0,25,35,45,55},{"18-24","25-34","35-44","45-54","55+"})</f>
        <v/>
      </c>
      <c r="G145" s="77" t="inlineStr">
        <is>
          <t>Marketing</t>
        </is>
      </c>
      <c r="H145" s="77" t="inlineStr">
        <is>
          <t>Assistente</t>
        </is>
      </c>
      <c r="I145" s="79" t="n">
        <v>3800</v>
      </c>
      <c r="J145" s="78" t="n">
        <v>46156</v>
      </c>
      <c r="K145" s="78" t="n"/>
      <c r="L145" s="77" t="inlineStr"/>
      <c r="M145" s="77" t="inlineStr">
        <is>
          <t>São Paulo</t>
        </is>
      </c>
      <c r="N145" s="77" t="n">
        <v>4.9</v>
      </c>
      <c r="O145" s="77">
        <f>IF(K145="","Ativo","Desligado")</f>
        <v/>
      </c>
      <c r="P145" s="77">
        <f>ROUND((IF(K145="",Calc!$B$7,K145)-J145)/365.25,1)</f>
        <v/>
      </c>
      <c r="Q145" s="77">
        <f>IF(OR(H145="Coordenação",H145="Gerência",H145="Diretoria"),"Sim","Não")</f>
        <v/>
      </c>
    </row>
    <row r="146">
      <c r="A146" s="77" t="inlineStr">
        <is>
          <t>M1145</t>
        </is>
      </c>
      <c r="B146" s="77" t="inlineStr">
        <is>
          <t>Rodrigo Silva</t>
        </is>
      </c>
      <c r="C146" s="77" t="inlineStr">
        <is>
          <t>M</t>
        </is>
      </c>
      <c r="D146" s="78" t="n">
        <v>29862</v>
      </c>
      <c r="E146" s="77">
        <f>DATEDIF(D146,IF(K146="",Calc!$B$7,K146),"y")</f>
        <v/>
      </c>
      <c r="F146" s="77">
        <f>LOOKUP(E146,{0,25,35,45,55},{"18-24","25-34","35-44","45-54","55+"})</f>
        <v/>
      </c>
      <c r="G146" s="77" t="inlineStr">
        <is>
          <t>Financeiro</t>
        </is>
      </c>
      <c r="H146" s="77" t="inlineStr">
        <is>
          <t>Gerência</t>
        </is>
      </c>
      <c r="I146" s="79" t="n">
        <v>14250</v>
      </c>
      <c r="J146" s="78" t="n">
        <v>46085</v>
      </c>
      <c r="K146" s="78" t="n"/>
      <c r="L146" s="77" t="inlineStr"/>
      <c r="M146" s="77" t="inlineStr">
        <is>
          <t>São Paulo</t>
        </is>
      </c>
      <c r="N146" s="77" t="n">
        <v>4.6</v>
      </c>
      <c r="O146" s="77">
        <f>IF(K146="","Ativo","Desligado")</f>
        <v/>
      </c>
      <c r="P146" s="77">
        <f>ROUND((IF(K146="",Calc!$B$7,K146)-J146)/365.25,1)</f>
        <v/>
      </c>
      <c r="Q146" s="77">
        <f>IF(OR(H146="Coordenação",H146="Gerência",H146="Diretoria"),"Sim","Não")</f>
        <v/>
      </c>
    </row>
    <row r="147">
      <c r="A147" s="77" t="inlineStr">
        <is>
          <t>M1146</t>
        </is>
      </c>
      <c r="B147" s="77" t="inlineStr">
        <is>
          <t>Felipe Nunes</t>
        </is>
      </c>
      <c r="C147" s="77" t="inlineStr">
        <is>
          <t>M</t>
        </is>
      </c>
      <c r="D147" s="78" t="n">
        <v>29955</v>
      </c>
      <c r="E147" s="77">
        <f>DATEDIF(D147,IF(K147="",Calc!$B$7,K147),"y")</f>
        <v/>
      </c>
      <c r="F147" s="77">
        <f>LOOKUP(E147,{0,25,35,45,55},{"18-24","25-34","35-44","45-54","55+"})</f>
        <v/>
      </c>
      <c r="G147" s="77" t="inlineStr">
        <is>
          <t>Comercial</t>
        </is>
      </c>
      <c r="H147" s="77" t="inlineStr">
        <is>
          <t>Coordenação</t>
        </is>
      </c>
      <c r="I147" s="79" t="n">
        <v>7500</v>
      </c>
      <c r="J147" s="78" t="n">
        <v>45858</v>
      </c>
      <c r="K147" s="78" t="n">
        <v>46037</v>
      </c>
      <c r="L147" s="77" t="inlineStr">
        <is>
          <t>Dispensa</t>
        </is>
      </c>
      <c r="M147" s="77" t="inlineStr">
        <is>
          <t>Curitiba</t>
        </is>
      </c>
      <c r="N147" s="77" t="n">
        <v>5</v>
      </c>
      <c r="O147" s="77">
        <f>IF(K147="","Ativo","Desligado")</f>
        <v/>
      </c>
      <c r="P147" s="77">
        <f>ROUND((IF(K147="",Calc!$B$7,K147)-J147)/365.25,1)</f>
        <v/>
      </c>
      <c r="Q147" s="77">
        <f>IF(OR(H147="Coordenação",H147="Gerência",H147="Diretoria"),"Sim","Não")</f>
        <v/>
      </c>
    </row>
    <row r="148">
      <c r="A148" s="77" t="inlineStr">
        <is>
          <t>M1147</t>
        </is>
      </c>
      <c r="B148" s="77" t="inlineStr">
        <is>
          <t>Luana Gomes</t>
        </is>
      </c>
      <c r="C148" s="77" t="inlineStr">
        <is>
          <t>F</t>
        </is>
      </c>
      <c r="D148" s="78" t="n">
        <v>33471</v>
      </c>
      <c r="E148" s="77">
        <f>DATEDIF(D148,IF(K148="",Calc!$B$7,K148),"y")</f>
        <v/>
      </c>
      <c r="F148" s="77">
        <f>LOOKUP(E148,{0,25,35,45,55},{"18-24","25-34","35-44","45-54","55+"})</f>
        <v/>
      </c>
      <c r="G148" s="77" t="inlineStr">
        <is>
          <t>Comercial</t>
        </is>
      </c>
      <c r="H148" s="77" t="inlineStr">
        <is>
          <t>Assistente</t>
        </is>
      </c>
      <c r="I148" s="79" t="n">
        <v>3500</v>
      </c>
      <c r="J148" s="78" t="n">
        <v>45937</v>
      </c>
      <c r="K148" s="78" t="n"/>
      <c r="L148" s="77" t="inlineStr"/>
      <c r="M148" s="77" t="inlineStr">
        <is>
          <t>São Paulo</t>
        </is>
      </c>
      <c r="N148" s="77" t="n">
        <v>3.4</v>
      </c>
      <c r="O148" s="77">
        <f>IF(K148="","Ativo","Desligado")</f>
        <v/>
      </c>
      <c r="P148" s="77">
        <f>ROUND((IF(K148="",Calc!$B$7,K148)-J148)/365.25,1)</f>
        <v/>
      </c>
      <c r="Q148" s="77">
        <f>IF(OR(H148="Coordenação",H148="Gerência",H148="Diretoria"),"Sim","Não")</f>
        <v/>
      </c>
    </row>
    <row r="149">
      <c r="A149" s="77" t="inlineStr">
        <is>
          <t>M1148</t>
        </is>
      </c>
      <c r="B149" s="77" t="inlineStr">
        <is>
          <t>Juliana Almeida</t>
        </is>
      </c>
      <c r="C149" s="77" t="inlineStr">
        <is>
          <t>F</t>
        </is>
      </c>
      <c r="D149" s="78" t="n">
        <v>32692</v>
      </c>
      <c r="E149" s="77">
        <f>DATEDIF(D149,IF(K149="",Calc!$B$7,K149),"y")</f>
        <v/>
      </c>
      <c r="F149" s="77">
        <f>LOOKUP(E149,{0,25,35,45,55},{"18-24","25-34","35-44","45-54","55+"})</f>
        <v/>
      </c>
      <c r="G149" s="77" t="inlineStr">
        <is>
          <t>Tecnologia</t>
        </is>
      </c>
      <c r="H149" s="77" t="inlineStr">
        <is>
          <t>Especialista</t>
        </is>
      </c>
      <c r="I149" s="79" t="n">
        <v>10000</v>
      </c>
      <c r="J149" s="78" t="n">
        <v>45956</v>
      </c>
      <c r="K149" s="78" t="n"/>
      <c r="L149" s="77" t="inlineStr"/>
      <c r="M149" s="77" t="inlineStr">
        <is>
          <t>Curitiba</t>
        </is>
      </c>
      <c r="N149" s="77" t="n">
        <v>4.8</v>
      </c>
      <c r="O149" s="77">
        <f>IF(K149="","Ativo","Desligado")</f>
        <v/>
      </c>
      <c r="P149" s="77">
        <f>ROUND((IF(K149="",Calc!$B$7,K149)-J149)/365.25,1)</f>
        <v/>
      </c>
      <c r="Q149" s="77">
        <f>IF(OR(H149="Coordenação",H149="Gerência",H149="Diretoria"),"Sim","Não")</f>
        <v/>
      </c>
    </row>
    <row r="150">
      <c r="A150" s="77" t="inlineStr">
        <is>
          <t>M1149</t>
        </is>
      </c>
      <c r="B150" s="77" t="inlineStr">
        <is>
          <t>Mateus Fernandes</t>
        </is>
      </c>
      <c r="C150" s="77" t="inlineStr">
        <is>
          <t>M</t>
        </is>
      </c>
      <c r="D150" s="78" t="n">
        <v>31899</v>
      </c>
      <c r="E150" s="77">
        <f>DATEDIF(D150,IF(K150="",Calc!$B$7,K150),"y")</f>
        <v/>
      </c>
      <c r="F150" s="77">
        <f>LOOKUP(E150,{0,25,35,45,55},{"18-24","25-34","35-44","45-54","55+"})</f>
        <v/>
      </c>
      <c r="G150" s="77" t="inlineStr">
        <is>
          <t>Comercial</t>
        </is>
      </c>
      <c r="H150" s="77" t="inlineStr">
        <is>
          <t>Analista</t>
        </is>
      </c>
      <c r="I150" s="79" t="n">
        <v>3750</v>
      </c>
      <c r="J150" s="78" t="n">
        <v>46237</v>
      </c>
      <c r="K150" s="78" t="n"/>
      <c r="L150" s="77" t="inlineStr"/>
      <c r="M150" s="77" t="inlineStr">
        <is>
          <t>São Paulo</t>
        </is>
      </c>
      <c r="N150" s="77" t="n">
        <v>3.9</v>
      </c>
      <c r="O150" s="77">
        <f>IF(K150="","Ativo","Desligado")</f>
        <v/>
      </c>
      <c r="P150" s="77">
        <f>ROUND((IF(K150="",Calc!$B$7,K150)-J150)/365.25,1)</f>
        <v/>
      </c>
      <c r="Q150" s="77">
        <f>IF(OR(H150="Coordenação",H150="Gerência",H150="Diretoria"),"Sim","Não")</f>
        <v/>
      </c>
    </row>
    <row r="151">
      <c r="A151" s="77" t="inlineStr">
        <is>
          <t>M1150</t>
        </is>
      </c>
      <c r="B151" s="77" t="inlineStr">
        <is>
          <t>Vanessa Vieira</t>
        </is>
      </c>
      <c r="C151" s="77" t="inlineStr">
        <is>
          <t>F</t>
        </is>
      </c>
      <c r="D151" s="78" t="n">
        <v>30630</v>
      </c>
      <c r="E151" s="77">
        <f>DATEDIF(D151,IF(K151="",Calc!$B$7,K151),"y")</f>
        <v/>
      </c>
      <c r="F151" s="77">
        <f>LOOKUP(E151,{0,25,35,45,55},{"18-24","25-34","35-44","45-54","55+"})</f>
        <v/>
      </c>
      <c r="G151" s="77" t="inlineStr">
        <is>
          <t>Operações</t>
        </is>
      </c>
      <c r="H151" s="77" t="inlineStr">
        <is>
          <t>Coordenação</t>
        </is>
      </c>
      <c r="I151" s="79" t="n">
        <v>7000</v>
      </c>
      <c r="J151" s="78" t="n">
        <v>45905</v>
      </c>
      <c r="K151" s="78" t="n"/>
      <c r="L151" s="77" t="inlineStr"/>
      <c r="M151" s="77" t="inlineStr">
        <is>
          <t>Curitiba</t>
        </is>
      </c>
      <c r="N151" s="77" t="n">
        <v>5</v>
      </c>
      <c r="O151" s="77">
        <f>IF(K151="","Ativo","Desligado")</f>
        <v/>
      </c>
      <c r="P151" s="77">
        <f>ROUND((IF(K151="",Calc!$B$7,K151)-J151)/365.25,1)</f>
        <v/>
      </c>
      <c r="Q151" s="77">
        <f>IF(OR(H151="Coordenação",H151="Gerência",H151="Diretoria"),"Sim","Não")</f>
        <v/>
      </c>
    </row>
    <row r="152">
      <c r="A152" s="77" t="inlineStr">
        <is>
          <t>M1151</t>
        </is>
      </c>
      <c r="B152" s="77" t="inlineStr">
        <is>
          <t>Luana Dias</t>
        </is>
      </c>
      <c r="C152" s="77" t="inlineStr">
        <is>
          <t>F</t>
        </is>
      </c>
      <c r="D152" s="78" t="n">
        <v>28216</v>
      </c>
      <c r="E152" s="77">
        <f>DATEDIF(D152,IF(K152="",Calc!$B$7,K152),"y")</f>
        <v/>
      </c>
      <c r="F152" s="77">
        <f>LOOKUP(E152,{0,25,35,45,55},{"18-24","25-34","35-44","45-54","55+"})</f>
        <v/>
      </c>
      <c r="G152" s="77" t="inlineStr">
        <is>
          <t>Operações</t>
        </is>
      </c>
      <c r="H152" s="77" t="inlineStr">
        <is>
          <t>Analista</t>
        </is>
      </c>
      <c r="I152" s="79" t="n">
        <v>3650</v>
      </c>
      <c r="J152" s="78" t="n">
        <v>46020</v>
      </c>
      <c r="K152" s="78" t="n"/>
      <c r="L152" s="77" t="inlineStr"/>
      <c r="M152" s="77" t="inlineStr">
        <is>
          <t>São Paulo</t>
        </is>
      </c>
      <c r="N152" s="77" t="n">
        <v>4</v>
      </c>
      <c r="O152" s="77">
        <f>IF(K152="","Ativo","Desligado")</f>
        <v/>
      </c>
      <c r="P152" s="77">
        <f>ROUND((IF(K152="",Calc!$B$7,K152)-J152)/365.25,1)</f>
        <v/>
      </c>
      <c r="Q152" s="77">
        <f>IF(OR(H152="Coordenação",H152="Gerência",H152="Diretoria"),"Sim","Não")</f>
        <v/>
      </c>
    </row>
    <row r="153">
      <c r="A153" s="77" t="inlineStr">
        <is>
          <t>M1152</t>
        </is>
      </c>
      <c r="B153" s="77" t="inlineStr">
        <is>
          <t>Beatriz Souza</t>
        </is>
      </c>
      <c r="C153" s="77" t="inlineStr">
        <is>
          <t>F</t>
        </is>
      </c>
      <c r="D153" s="78" t="n">
        <v>35877</v>
      </c>
      <c r="E153" s="77">
        <f>DATEDIF(D153,IF(K153="",Calc!$B$7,K153),"y")</f>
        <v/>
      </c>
      <c r="F153" s="77">
        <f>LOOKUP(E153,{0,25,35,45,55},{"18-24","25-34","35-44","45-54","55+"})</f>
        <v/>
      </c>
      <c r="G153" s="77" t="inlineStr">
        <is>
          <t>Tecnologia</t>
        </is>
      </c>
      <c r="H153" s="77" t="inlineStr">
        <is>
          <t>Analista</t>
        </is>
      </c>
      <c r="I153" s="79" t="n">
        <v>7300</v>
      </c>
      <c r="J153" s="78" t="n">
        <v>45812</v>
      </c>
      <c r="K153" s="78" t="n"/>
      <c r="L153" s="77" t="inlineStr"/>
      <c r="M153" s="77" t="inlineStr">
        <is>
          <t>São Paulo</t>
        </is>
      </c>
      <c r="N153" s="77" t="n">
        <v>3.7</v>
      </c>
      <c r="O153" s="77">
        <f>IF(K153="","Ativo","Desligado")</f>
        <v/>
      </c>
      <c r="P153" s="77">
        <f>ROUND((IF(K153="",Calc!$B$7,K153)-J153)/365.25,1)</f>
        <v/>
      </c>
      <c r="Q153" s="77">
        <f>IF(OR(H153="Coordenação",H153="Gerência",H153="Diretoria"),"Sim","Não")</f>
        <v/>
      </c>
    </row>
    <row r="154">
      <c r="A154" s="77" t="inlineStr">
        <is>
          <t>M1153</t>
        </is>
      </c>
      <c r="B154" s="77" t="inlineStr">
        <is>
          <t>Eduardo Rodrigues</t>
        </is>
      </c>
      <c r="C154" s="77" t="inlineStr">
        <is>
          <t>M</t>
        </is>
      </c>
      <c r="D154" s="78" t="n">
        <v>37823</v>
      </c>
      <c r="E154" s="77">
        <f>DATEDIF(D154,IF(K154="",Calc!$B$7,K154),"y")</f>
        <v/>
      </c>
      <c r="F154" s="77">
        <f>LOOKUP(E154,{0,25,35,45,55},{"18-24","25-34","35-44","45-54","55+"})</f>
        <v/>
      </c>
      <c r="G154" s="77" t="inlineStr">
        <is>
          <t>Comercial</t>
        </is>
      </c>
      <c r="H154" s="77" t="inlineStr">
        <is>
          <t>Especialista</t>
        </is>
      </c>
      <c r="I154" s="79" t="n">
        <v>6350</v>
      </c>
      <c r="J154" s="78" t="n">
        <v>45661</v>
      </c>
      <c r="K154" s="78" t="n"/>
      <c r="L154" s="77" t="inlineStr"/>
      <c r="M154" s="77" t="inlineStr">
        <is>
          <t>Recife</t>
        </is>
      </c>
      <c r="N154" s="77" t="n">
        <v>3.9</v>
      </c>
      <c r="O154" s="77">
        <f>IF(K154="","Ativo","Desligado")</f>
        <v/>
      </c>
      <c r="P154" s="77">
        <f>ROUND((IF(K154="",Calc!$B$7,K154)-J154)/365.25,1)</f>
        <v/>
      </c>
      <c r="Q154" s="77">
        <f>IF(OR(H154="Coordenação",H154="Gerência",H154="Diretoria"),"Sim","Não")</f>
        <v/>
      </c>
    </row>
    <row r="155">
      <c r="A155" s="77" t="inlineStr">
        <is>
          <t>M1154</t>
        </is>
      </c>
      <c r="B155" s="77" t="inlineStr">
        <is>
          <t>Camila Gomes</t>
        </is>
      </c>
      <c r="C155" s="77" t="inlineStr">
        <is>
          <t>F</t>
        </is>
      </c>
      <c r="D155" s="78" t="n">
        <v>33456</v>
      </c>
      <c r="E155" s="77">
        <f>DATEDIF(D155,IF(K155="",Calc!$B$7,K155),"y")</f>
        <v/>
      </c>
      <c r="F155" s="77">
        <f>LOOKUP(E155,{0,25,35,45,55},{"18-24","25-34","35-44","45-54","55+"})</f>
        <v/>
      </c>
      <c r="G155" s="77" t="inlineStr">
        <is>
          <t>Operações</t>
        </is>
      </c>
      <c r="H155" s="77" t="inlineStr">
        <is>
          <t>Assistente</t>
        </is>
      </c>
      <c r="I155" s="79" t="n">
        <v>2400</v>
      </c>
      <c r="J155" s="78" t="n">
        <v>46172</v>
      </c>
      <c r="K155" s="78" t="n"/>
      <c r="L155" s="77" t="inlineStr"/>
      <c r="M155" s="77" t="inlineStr">
        <is>
          <t>São Paulo</t>
        </is>
      </c>
      <c r="N155" s="77" t="n">
        <v>4.5</v>
      </c>
      <c r="O155" s="77">
        <f>IF(K155="","Ativo","Desligado")</f>
        <v/>
      </c>
      <c r="P155" s="77">
        <f>ROUND((IF(K155="",Calc!$B$7,K155)-J155)/365.25,1)</f>
        <v/>
      </c>
      <c r="Q155" s="77">
        <f>IF(OR(H155="Coordenação",H155="Gerência",H155="Diretoria"),"Sim","Não")</f>
        <v/>
      </c>
    </row>
    <row r="156">
      <c r="A156" s="77" t="inlineStr">
        <is>
          <t>M1155</t>
        </is>
      </c>
      <c r="B156" s="77" t="inlineStr">
        <is>
          <t>Rafael Silva</t>
        </is>
      </c>
      <c r="C156" s="77" t="inlineStr">
        <is>
          <t>M</t>
        </is>
      </c>
      <c r="D156" s="78" t="n">
        <v>34367</v>
      </c>
      <c r="E156" s="77">
        <f>DATEDIF(D156,IF(K156="",Calc!$B$7,K156),"y")</f>
        <v/>
      </c>
      <c r="F156" s="77">
        <f>LOOKUP(E156,{0,25,35,45,55},{"18-24","25-34","35-44","45-54","55+"})</f>
        <v/>
      </c>
      <c r="G156" s="77" t="inlineStr">
        <is>
          <t>Financeiro</t>
        </is>
      </c>
      <c r="H156" s="77" t="inlineStr">
        <is>
          <t>Coordenação</t>
        </is>
      </c>
      <c r="I156" s="79" t="n">
        <v>11900</v>
      </c>
      <c r="J156" s="78" t="n">
        <v>46211</v>
      </c>
      <c r="K156" s="78" t="n"/>
      <c r="L156" s="77" t="inlineStr"/>
      <c r="M156" s="77" t="inlineStr">
        <is>
          <t>São Paulo</t>
        </is>
      </c>
      <c r="N156" s="77" t="n">
        <v>4</v>
      </c>
      <c r="O156" s="77">
        <f>IF(K156="","Ativo","Desligado")</f>
        <v/>
      </c>
      <c r="P156" s="77">
        <f>ROUND((IF(K156="",Calc!$B$7,K156)-J156)/365.25,1)</f>
        <v/>
      </c>
      <c r="Q156" s="77">
        <f>IF(OR(H156="Coordenação",H156="Gerência",H156="Diretoria"),"Sim","Não")</f>
        <v/>
      </c>
    </row>
    <row r="157">
      <c r="A157" s="77" t="inlineStr">
        <is>
          <t>M1156</t>
        </is>
      </c>
      <c r="B157" s="77" t="inlineStr">
        <is>
          <t>André Soares</t>
        </is>
      </c>
      <c r="C157" s="77" t="inlineStr">
        <is>
          <t>M</t>
        </is>
      </c>
      <c r="D157" s="78" t="n">
        <v>35452</v>
      </c>
      <c r="E157" s="77">
        <f>DATEDIF(D157,IF(K157="",Calc!$B$7,K157),"y")</f>
        <v/>
      </c>
      <c r="F157" s="77">
        <f>LOOKUP(E157,{0,25,35,45,55},{"18-24","25-34","35-44","45-54","55+"})</f>
        <v/>
      </c>
      <c r="G157" s="77" t="inlineStr">
        <is>
          <t>Marketing</t>
        </is>
      </c>
      <c r="H157" s="77" t="inlineStr">
        <is>
          <t>Especialista</t>
        </is>
      </c>
      <c r="I157" s="79" t="n">
        <v>8000</v>
      </c>
      <c r="J157" s="78" t="n">
        <v>46287</v>
      </c>
      <c r="K157" s="78" t="n"/>
      <c r="L157" s="77" t="inlineStr"/>
      <c r="M157" s="77" t="inlineStr">
        <is>
          <t>São Paulo</t>
        </is>
      </c>
      <c r="N157" s="77" t="n">
        <v>3.6</v>
      </c>
      <c r="O157" s="77">
        <f>IF(K157="","Ativo","Desligado")</f>
        <v/>
      </c>
      <c r="P157" s="77">
        <f>ROUND((IF(K157="",Calc!$B$7,K157)-J157)/365.25,1)</f>
        <v/>
      </c>
      <c r="Q157" s="77">
        <f>IF(OR(H157="Coordenação",H157="Gerência",H157="Diretoria"),"Sim","Não")</f>
        <v/>
      </c>
    </row>
    <row r="158">
      <c r="A158" s="77" t="inlineStr">
        <is>
          <t>M1157</t>
        </is>
      </c>
      <c r="B158" s="77" t="inlineStr">
        <is>
          <t>Larissa Ferreira</t>
        </is>
      </c>
      <c r="C158" s="77" t="inlineStr">
        <is>
          <t>F</t>
        </is>
      </c>
      <c r="D158" s="78" t="n">
        <v>29792</v>
      </c>
      <c r="E158" s="77">
        <f>DATEDIF(D158,IF(K158="",Calc!$B$7,K158),"y")</f>
        <v/>
      </c>
      <c r="F158" s="77">
        <f>LOOKUP(E158,{0,25,35,45,55},{"18-24","25-34","35-44","45-54","55+"})</f>
        <v/>
      </c>
      <c r="G158" s="77" t="inlineStr">
        <is>
          <t>Tecnologia</t>
        </is>
      </c>
      <c r="H158" s="77" t="inlineStr">
        <is>
          <t>Coordenação</t>
        </is>
      </c>
      <c r="I158" s="79" t="n">
        <v>13400</v>
      </c>
      <c r="J158" s="78" t="n">
        <v>45684</v>
      </c>
      <c r="K158" s="78" t="n"/>
      <c r="L158" s="77" t="inlineStr"/>
      <c r="M158" s="77" t="inlineStr">
        <is>
          <t>Curitiba</t>
        </is>
      </c>
      <c r="N158" s="77" t="n">
        <v>5</v>
      </c>
      <c r="O158" s="77">
        <f>IF(K158="","Ativo","Desligado")</f>
        <v/>
      </c>
      <c r="P158" s="77">
        <f>ROUND((IF(K158="",Calc!$B$7,K158)-J158)/365.25,1)</f>
        <v/>
      </c>
      <c r="Q158" s="77">
        <f>IF(OR(H158="Coordenação",H158="Gerência",H158="Diretoria"),"Sim","Não")</f>
        <v/>
      </c>
    </row>
    <row r="159">
      <c r="A159" s="77" t="inlineStr">
        <is>
          <t>M1158</t>
        </is>
      </c>
      <c r="B159" s="77" t="inlineStr">
        <is>
          <t>Gustavo Gomes</t>
        </is>
      </c>
      <c r="C159" s="77" t="inlineStr">
        <is>
          <t>M</t>
        </is>
      </c>
      <c r="D159" s="78" t="n">
        <v>30566</v>
      </c>
      <c r="E159" s="77">
        <f>DATEDIF(D159,IF(K159="",Calc!$B$7,K159),"y")</f>
        <v/>
      </c>
      <c r="F159" s="77">
        <f>LOOKUP(E159,{0,25,35,45,55},{"18-24","25-34","35-44","45-54","55+"})</f>
        <v/>
      </c>
      <c r="G159" s="77" t="inlineStr">
        <is>
          <t>Tecnologia</t>
        </is>
      </c>
      <c r="H159" s="77" t="inlineStr">
        <is>
          <t>Especialista</t>
        </is>
      </c>
      <c r="I159" s="79" t="n">
        <v>12600</v>
      </c>
      <c r="J159" s="78" t="n">
        <v>45689</v>
      </c>
      <c r="K159" s="78" t="n"/>
      <c r="L159" s="77" t="inlineStr"/>
      <c r="M159" s="77" t="inlineStr">
        <is>
          <t>São Paulo</t>
        </is>
      </c>
      <c r="N159" s="77" t="n">
        <v>2.4</v>
      </c>
      <c r="O159" s="77">
        <f>IF(K159="","Ativo","Desligado")</f>
        <v/>
      </c>
      <c r="P159" s="77">
        <f>ROUND((IF(K159="",Calc!$B$7,K159)-J159)/365.25,1)</f>
        <v/>
      </c>
      <c r="Q159" s="77">
        <f>IF(OR(H159="Coordenação",H159="Gerência",H159="Diretoria"),"Sim","Não")</f>
        <v/>
      </c>
    </row>
    <row r="160">
      <c r="A160" s="77" t="inlineStr">
        <is>
          <t>M1159</t>
        </is>
      </c>
      <c r="B160" s="77" t="inlineStr">
        <is>
          <t>Thiago Pereira</t>
        </is>
      </c>
      <c r="C160" s="77" t="inlineStr">
        <is>
          <t>M</t>
        </is>
      </c>
      <c r="D160" s="78" t="n">
        <v>30240</v>
      </c>
      <c r="E160" s="77">
        <f>DATEDIF(D160,IF(K160="",Calc!$B$7,K160),"y")</f>
        <v/>
      </c>
      <c r="F160" s="77">
        <f>LOOKUP(E160,{0,25,35,45,55},{"18-24","25-34","35-44","45-54","55+"})</f>
        <v/>
      </c>
      <c r="G160" s="77" t="inlineStr">
        <is>
          <t>Operações</t>
        </is>
      </c>
      <c r="H160" s="77" t="inlineStr">
        <is>
          <t>Assistente</t>
        </is>
      </c>
      <c r="I160" s="79" t="n">
        <v>2400</v>
      </c>
      <c r="J160" s="78" t="n">
        <v>45969</v>
      </c>
      <c r="K160" s="78" t="n"/>
      <c r="L160" s="77" t="inlineStr"/>
      <c r="M160" s="77" t="inlineStr">
        <is>
          <t>Curitiba</t>
        </is>
      </c>
      <c r="N160" s="77" t="n">
        <v>3.7</v>
      </c>
      <c r="O160" s="77">
        <f>IF(K160="","Ativo","Desligado")</f>
        <v/>
      </c>
      <c r="P160" s="77">
        <f>ROUND((IF(K160="",Calc!$B$7,K160)-J160)/365.25,1)</f>
        <v/>
      </c>
      <c r="Q160" s="77">
        <f>IF(OR(H160="Coordenação",H160="Gerência",H160="Diretoria"),"Sim","Não")</f>
        <v/>
      </c>
    </row>
    <row r="161">
      <c r="A161" s="77" t="inlineStr">
        <is>
          <t>M1160</t>
        </is>
      </c>
      <c r="B161" s="77" t="inlineStr">
        <is>
          <t>Mateus Costa</t>
        </is>
      </c>
      <c r="C161" s="77" t="inlineStr">
        <is>
          <t>M</t>
        </is>
      </c>
      <c r="D161" s="78" t="n">
        <v>33044</v>
      </c>
      <c r="E161" s="77">
        <f>DATEDIF(D161,IF(K161="",Calc!$B$7,K161),"y")</f>
        <v/>
      </c>
      <c r="F161" s="77">
        <f>LOOKUP(E161,{0,25,35,45,55},{"18-24","25-34","35-44","45-54","55+"})</f>
        <v/>
      </c>
      <c r="G161" s="77" t="inlineStr">
        <is>
          <t>Operações</t>
        </is>
      </c>
      <c r="H161" s="77" t="inlineStr">
        <is>
          <t>Analista</t>
        </is>
      </c>
      <c r="I161" s="79" t="n">
        <v>3000</v>
      </c>
      <c r="J161" s="78" t="n">
        <v>45989</v>
      </c>
      <c r="K161" s="78" t="n"/>
      <c r="L161" s="77" t="inlineStr"/>
      <c r="M161" s="77" t="inlineStr">
        <is>
          <t>São Paulo</t>
        </is>
      </c>
      <c r="N161" s="77" t="n">
        <v>3.9</v>
      </c>
      <c r="O161" s="77">
        <f>IF(K161="","Ativo","Desligado")</f>
        <v/>
      </c>
      <c r="P161" s="77">
        <f>ROUND((IF(K161="",Calc!$B$7,K161)-J161)/365.25,1)</f>
        <v/>
      </c>
      <c r="Q161" s="77">
        <f>IF(OR(H161="Coordenação",H161="Gerência",H161="Diretoria"),"Sim","Não")</f>
        <v/>
      </c>
    </row>
    <row r="162">
      <c r="A162" s="77" t="inlineStr">
        <is>
          <t>M1161</t>
        </is>
      </c>
      <c r="B162" s="77" t="inlineStr">
        <is>
          <t>Mariana Carvalho</t>
        </is>
      </c>
      <c r="C162" s="77" t="inlineStr">
        <is>
          <t>F</t>
        </is>
      </c>
      <c r="D162" s="78" t="n">
        <v>36909</v>
      </c>
      <c r="E162" s="77">
        <f>DATEDIF(D162,IF(K162="",Calc!$B$7,K162),"y")</f>
        <v/>
      </c>
      <c r="F162" s="77">
        <f>LOOKUP(E162,{0,25,35,45,55},{"18-24","25-34","35-44","45-54","55+"})</f>
        <v/>
      </c>
      <c r="G162" s="77" t="inlineStr">
        <is>
          <t>Tecnologia</t>
        </is>
      </c>
      <c r="H162" s="77" t="inlineStr">
        <is>
          <t>Gerência</t>
        </is>
      </c>
      <c r="I162" s="79" t="n">
        <v>24100</v>
      </c>
      <c r="J162" s="78" t="n">
        <v>46106</v>
      </c>
      <c r="K162" s="78" t="n"/>
      <c r="L162" s="77" t="inlineStr"/>
      <c r="M162" s="77" t="inlineStr">
        <is>
          <t>Recife</t>
        </is>
      </c>
      <c r="N162" s="77" t="n">
        <v>4.1</v>
      </c>
      <c r="O162" s="77">
        <f>IF(K162="","Ativo","Desligado")</f>
        <v/>
      </c>
      <c r="P162" s="77">
        <f>ROUND((IF(K162="",Calc!$B$7,K162)-J162)/365.25,1)</f>
        <v/>
      </c>
      <c r="Q162" s="77">
        <f>IF(OR(H162="Coordenação",H162="Gerência",H162="Diretoria"),"Sim","Não")</f>
        <v/>
      </c>
    </row>
    <row r="163">
      <c r="A163" s="77" t="inlineStr">
        <is>
          <t>M1162</t>
        </is>
      </c>
      <c r="B163" s="77" t="inlineStr">
        <is>
          <t>Beatriz Ribeiro</t>
        </is>
      </c>
      <c r="C163" s="77" t="inlineStr">
        <is>
          <t>F</t>
        </is>
      </c>
      <c r="D163" s="78" t="n">
        <v>27182</v>
      </c>
      <c r="E163" s="77">
        <f>DATEDIF(D163,IF(K163="",Calc!$B$7,K163),"y")</f>
        <v/>
      </c>
      <c r="F163" s="77">
        <f>LOOKUP(E163,{0,25,35,45,55},{"18-24","25-34","35-44","45-54","55+"})</f>
        <v/>
      </c>
      <c r="G163" s="77" t="inlineStr">
        <is>
          <t>Operações</t>
        </is>
      </c>
      <c r="H163" s="77" t="inlineStr">
        <is>
          <t>Coordenação</t>
        </is>
      </c>
      <c r="I163" s="79" t="n">
        <v>6250</v>
      </c>
      <c r="J163" s="78" t="n">
        <v>45722</v>
      </c>
      <c r="K163" s="78" t="n"/>
      <c r="L163" s="77" t="inlineStr"/>
      <c r="M163" s="77" t="inlineStr">
        <is>
          <t>São Paulo</t>
        </is>
      </c>
      <c r="N163" s="77" t="n">
        <v>4.2</v>
      </c>
      <c r="O163" s="77">
        <f>IF(K163="","Ativo","Desligado")</f>
        <v/>
      </c>
      <c r="P163" s="77">
        <f>ROUND((IF(K163="",Calc!$B$7,K163)-J163)/365.25,1)</f>
        <v/>
      </c>
      <c r="Q163" s="77">
        <f>IF(OR(H163="Coordenação",H163="Gerência",H163="Diretoria"),"Sim","Não")</f>
        <v/>
      </c>
    </row>
    <row r="164">
      <c r="A164" s="77" t="inlineStr">
        <is>
          <t>M1163</t>
        </is>
      </c>
      <c r="B164" s="77" t="inlineStr">
        <is>
          <t>Larissa Soares</t>
        </is>
      </c>
      <c r="C164" s="77" t="inlineStr">
        <is>
          <t>F</t>
        </is>
      </c>
      <c r="D164" s="78" t="n">
        <v>30660</v>
      </c>
      <c r="E164" s="77">
        <f>DATEDIF(D164,IF(K164="",Calc!$B$7,K164),"y")</f>
        <v/>
      </c>
      <c r="F164" s="77">
        <f>LOOKUP(E164,{0,25,35,45,55},{"18-24","25-34","35-44","45-54","55+"})</f>
        <v/>
      </c>
      <c r="G164" s="77" t="inlineStr">
        <is>
          <t>Comercial</t>
        </is>
      </c>
      <c r="H164" s="77" t="inlineStr">
        <is>
          <t>Assistente</t>
        </is>
      </c>
      <c r="I164" s="79" t="n">
        <v>3250</v>
      </c>
      <c r="J164" s="78" t="n">
        <v>46243</v>
      </c>
      <c r="K164" s="78" t="n"/>
      <c r="L164" s="77" t="inlineStr"/>
      <c r="M164" s="77" t="inlineStr">
        <is>
          <t>São Paulo</t>
        </is>
      </c>
      <c r="N164" s="77" t="n">
        <v>4.2</v>
      </c>
      <c r="O164" s="77">
        <f>IF(K164="","Ativo","Desligado")</f>
        <v/>
      </c>
      <c r="P164" s="77">
        <f>ROUND((IF(K164="",Calc!$B$7,K164)-J164)/365.25,1)</f>
        <v/>
      </c>
      <c r="Q164" s="77">
        <f>IF(OR(H164="Coordenação",H164="Gerência",H164="Diretoria"),"Sim","Não")</f>
        <v/>
      </c>
    </row>
    <row r="165">
      <c r="A165" s="77" t="inlineStr">
        <is>
          <t>M1164</t>
        </is>
      </c>
      <c r="B165" s="77" t="inlineStr">
        <is>
          <t>Yasmin Pereira</t>
        </is>
      </c>
      <c r="C165" s="77" t="inlineStr">
        <is>
          <t>F</t>
        </is>
      </c>
      <c r="D165" s="78" t="n">
        <v>29314</v>
      </c>
      <c r="E165" s="77">
        <f>DATEDIF(D165,IF(K165="",Calc!$B$7,K165),"y")</f>
        <v/>
      </c>
      <c r="F165" s="77">
        <f>LOOKUP(E165,{0,25,35,45,55},{"18-24","25-34","35-44","45-54","55+"})</f>
        <v/>
      </c>
      <c r="G165" s="77" t="inlineStr">
        <is>
          <t>Operações</t>
        </is>
      </c>
      <c r="H165" s="77" t="inlineStr">
        <is>
          <t>Coordenação</t>
        </is>
      </c>
      <c r="I165" s="79" t="n">
        <v>6600</v>
      </c>
      <c r="J165" s="78" t="n">
        <v>46125</v>
      </c>
      <c r="K165" s="78" t="n"/>
      <c r="L165" s="77" t="inlineStr"/>
      <c r="M165" s="77" t="inlineStr">
        <is>
          <t>São Paulo</t>
        </is>
      </c>
      <c r="N165" s="77" t="n">
        <v>3.4</v>
      </c>
      <c r="O165" s="77">
        <f>IF(K165="","Ativo","Desligado")</f>
        <v/>
      </c>
      <c r="P165" s="77">
        <f>ROUND((IF(K165="",Calc!$B$7,K165)-J165)/365.25,1)</f>
        <v/>
      </c>
      <c r="Q165" s="77">
        <f>IF(OR(H165="Coordenação",H165="Gerência",H165="Diretoria"),"Sim","Não")</f>
        <v/>
      </c>
    </row>
    <row r="166">
      <c r="A166" s="77" t="inlineStr">
        <is>
          <t>M1165</t>
        </is>
      </c>
      <c r="B166" s="77" t="inlineStr">
        <is>
          <t>Diego Pereira</t>
        </is>
      </c>
      <c r="C166" s="77" t="inlineStr">
        <is>
          <t>M</t>
        </is>
      </c>
      <c r="D166" s="78" t="n">
        <v>29390</v>
      </c>
      <c r="E166" s="77">
        <f>DATEDIF(D166,IF(K166="",Calc!$B$7,K166),"y")</f>
        <v/>
      </c>
      <c r="F166" s="77">
        <f>LOOKUP(E166,{0,25,35,45,55},{"18-24","25-34","35-44","45-54","55+"})</f>
        <v/>
      </c>
      <c r="G166" s="77" t="inlineStr">
        <is>
          <t>Comercial</t>
        </is>
      </c>
      <c r="H166" s="77" t="inlineStr">
        <is>
          <t>Analista</t>
        </is>
      </c>
      <c r="I166" s="79" t="n">
        <v>4450</v>
      </c>
      <c r="J166" s="78" t="n">
        <v>46057</v>
      </c>
      <c r="K166" s="78" t="n">
        <v>46186</v>
      </c>
      <c r="L166" s="77" t="inlineStr">
        <is>
          <t>Pedido de demissão</t>
        </is>
      </c>
      <c r="M166" s="77" t="inlineStr">
        <is>
          <t>São Paulo</t>
        </is>
      </c>
      <c r="N166" s="77" t="n">
        <v>3.9</v>
      </c>
      <c r="O166" s="77">
        <f>IF(K166="","Ativo","Desligado")</f>
        <v/>
      </c>
      <c r="P166" s="77">
        <f>ROUND((IF(K166="",Calc!$B$7,K166)-J166)/365.25,1)</f>
        <v/>
      </c>
      <c r="Q166" s="77">
        <f>IF(OR(H166="Coordenação",H166="Gerência",H166="Diretoria"),"Sim","Não")</f>
        <v/>
      </c>
    </row>
    <row r="167">
      <c r="A167" s="77" t="inlineStr">
        <is>
          <t>M1166</t>
        </is>
      </c>
      <c r="B167" s="77" t="inlineStr">
        <is>
          <t>Leonardo Moreira</t>
        </is>
      </c>
      <c r="C167" s="77" t="inlineStr">
        <is>
          <t>M</t>
        </is>
      </c>
      <c r="D167" s="78" t="n">
        <v>30805</v>
      </c>
      <c r="E167" s="77">
        <f>DATEDIF(D167,IF(K167="",Calc!$B$7,K167),"y")</f>
        <v/>
      </c>
      <c r="F167" s="77">
        <f>LOOKUP(E167,{0,25,35,45,55},{"18-24","25-34","35-44","45-54","55+"})</f>
        <v/>
      </c>
      <c r="G167" s="77" t="inlineStr">
        <is>
          <t>Comercial</t>
        </is>
      </c>
      <c r="H167" s="77" t="inlineStr">
        <is>
          <t>Especialista</t>
        </is>
      </c>
      <c r="I167" s="79" t="n">
        <v>5450</v>
      </c>
      <c r="J167" s="78" t="n">
        <v>46098</v>
      </c>
      <c r="K167" s="78" t="n"/>
      <c r="L167" s="77" t="inlineStr"/>
      <c r="M167" s="77" t="inlineStr">
        <is>
          <t>São Paulo</t>
        </is>
      </c>
      <c r="N167" s="77" t="n">
        <v>3.5</v>
      </c>
      <c r="O167" s="77">
        <f>IF(K167="","Ativo","Desligado")</f>
        <v/>
      </c>
      <c r="P167" s="77">
        <f>ROUND((IF(K167="",Calc!$B$7,K167)-J167)/365.25,1)</f>
        <v/>
      </c>
      <c r="Q167" s="77">
        <f>IF(OR(H167="Coordenação",H167="Gerência",H167="Diretoria"),"Sim","Não")</f>
        <v/>
      </c>
    </row>
    <row r="168">
      <c r="A168" s="77" t="inlineStr">
        <is>
          <t>M1167</t>
        </is>
      </c>
      <c r="B168" s="77" t="inlineStr">
        <is>
          <t>André Souza</t>
        </is>
      </c>
      <c r="C168" s="77" t="inlineStr">
        <is>
          <t>M</t>
        </is>
      </c>
      <c r="D168" s="78" t="n">
        <v>33276</v>
      </c>
      <c r="E168" s="77">
        <f>DATEDIF(D168,IF(K168="",Calc!$B$7,K168),"y")</f>
        <v/>
      </c>
      <c r="F168" s="77">
        <f>LOOKUP(E168,{0,25,35,45,55},{"18-24","25-34","35-44","45-54","55+"})</f>
        <v/>
      </c>
      <c r="G168" s="77" t="inlineStr">
        <is>
          <t>Operações</t>
        </is>
      </c>
      <c r="H168" s="77" t="inlineStr">
        <is>
          <t>Analista</t>
        </is>
      </c>
      <c r="I168" s="79" t="n">
        <v>3750</v>
      </c>
      <c r="J168" s="78" t="n">
        <v>45787</v>
      </c>
      <c r="K168" s="78" t="n"/>
      <c r="L168" s="77" t="inlineStr"/>
      <c r="M168" s="77" t="inlineStr">
        <is>
          <t>São Paulo</t>
        </is>
      </c>
      <c r="N168" s="77" t="n">
        <v>3.5</v>
      </c>
      <c r="O168" s="77">
        <f>IF(K168="","Ativo","Desligado")</f>
        <v/>
      </c>
      <c r="P168" s="77">
        <f>ROUND((IF(K168="",Calc!$B$7,K168)-J168)/365.25,1)</f>
        <v/>
      </c>
      <c r="Q168" s="77">
        <f>IF(OR(H168="Coordenação",H168="Gerência",H168="Diretoria"),"Sim","Não")</f>
        <v/>
      </c>
    </row>
    <row r="169">
      <c r="A169" s="77" t="inlineStr">
        <is>
          <t>M1168</t>
        </is>
      </c>
      <c r="B169" s="77" t="inlineStr">
        <is>
          <t>Carolina Fernandes</t>
        </is>
      </c>
      <c r="C169" s="77" t="inlineStr">
        <is>
          <t>F</t>
        </is>
      </c>
      <c r="D169" s="78" t="n">
        <v>29784</v>
      </c>
      <c r="E169" s="77">
        <f>DATEDIF(D169,IF(K169="",Calc!$B$7,K169),"y")</f>
        <v/>
      </c>
      <c r="F169" s="77">
        <f>LOOKUP(E169,{0,25,35,45,55},{"18-24","25-34","35-44","45-54","55+"})</f>
        <v/>
      </c>
      <c r="G169" s="77" t="inlineStr">
        <is>
          <t>Operações</t>
        </is>
      </c>
      <c r="H169" s="77" t="inlineStr">
        <is>
          <t>Analista</t>
        </is>
      </c>
      <c r="I169" s="79" t="n">
        <v>3400</v>
      </c>
      <c r="J169" s="78" t="n">
        <v>46218</v>
      </c>
      <c r="K169" s="78" t="n"/>
      <c r="L169" s="77" t="inlineStr"/>
      <c r="M169" s="77" t="inlineStr">
        <is>
          <t>Belo Horizonte</t>
        </is>
      </c>
      <c r="N169" s="77" t="n">
        <v>3.3</v>
      </c>
      <c r="O169" s="77">
        <f>IF(K169="","Ativo","Desligado")</f>
        <v/>
      </c>
      <c r="P169" s="77">
        <f>ROUND((IF(K169="",Calc!$B$7,K169)-J169)/365.25,1)</f>
        <v/>
      </c>
      <c r="Q169" s="77">
        <f>IF(OR(H169="Coordenação",H169="Gerência",H169="Diretoria"),"Sim","Não")</f>
        <v/>
      </c>
    </row>
    <row r="170">
      <c r="A170" s="77" t="inlineStr">
        <is>
          <t>M1169</t>
        </is>
      </c>
      <c r="B170" s="77" t="inlineStr">
        <is>
          <t>André Moreira</t>
        </is>
      </c>
      <c r="C170" s="77" t="inlineStr">
        <is>
          <t>M</t>
        </is>
      </c>
      <c r="D170" s="78" t="n">
        <v>28907</v>
      </c>
      <c r="E170" s="77">
        <f>DATEDIF(D170,IF(K170="",Calc!$B$7,K170),"y")</f>
        <v/>
      </c>
      <c r="F170" s="77">
        <f>LOOKUP(E170,{0,25,35,45,55},{"18-24","25-34","35-44","45-54","55+"})</f>
        <v/>
      </c>
      <c r="G170" s="77" t="inlineStr">
        <is>
          <t>Operações</t>
        </is>
      </c>
      <c r="H170" s="77" t="inlineStr">
        <is>
          <t>Especialista</t>
        </is>
      </c>
      <c r="I170" s="79" t="n">
        <v>5200</v>
      </c>
      <c r="J170" s="78" t="n">
        <v>45843</v>
      </c>
      <c r="K170" s="78" t="n"/>
      <c r="L170" s="77" t="inlineStr"/>
      <c r="M170" s="77" t="inlineStr">
        <is>
          <t>São Paulo</t>
        </is>
      </c>
      <c r="N170" s="77" t="n">
        <v>3.7</v>
      </c>
      <c r="O170" s="77">
        <f>IF(K170="","Ativo","Desligado")</f>
        <v/>
      </c>
      <c r="P170" s="77">
        <f>ROUND((IF(K170="",Calc!$B$7,K170)-J170)/365.25,1)</f>
        <v/>
      </c>
      <c r="Q170" s="77">
        <f>IF(OR(H170="Coordenação",H170="Gerência",H170="Diretoria"),"Sim","Não")</f>
        <v/>
      </c>
    </row>
    <row r="171">
      <c r="A171" s="77" t="inlineStr">
        <is>
          <t>M1170</t>
        </is>
      </c>
      <c r="B171" s="77" t="inlineStr">
        <is>
          <t>Mateus Barbosa</t>
        </is>
      </c>
      <c r="C171" s="77" t="inlineStr">
        <is>
          <t>M</t>
        </is>
      </c>
      <c r="D171" s="78" t="n">
        <v>29553</v>
      </c>
      <c r="E171" s="77">
        <f>DATEDIF(D171,IF(K171="",Calc!$B$7,K171),"y")</f>
        <v/>
      </c>
      <c r="F171" s="77">
        <f>LOOKUP(E171,{0,25,35,45,55},{"18-24","25-34","35-44","45-54","55+"})</f>
        <v/>
      </c>
      <c r="G171" s="77" t="inlineStr">
        <is>
          <t>Tecnologia</t>
        </is>
      </c>
      <c r="H171" s="77" t="inlineStr">
        <is>
          <t>Assistente</t>
        </is>
      </c>
      <c r="I171" s="79" t="n">
        <v>5800</v>
      </c>
      <c r="J171" s="78" t="n">
        <v>45688</v>
      </c>
      <c r="K171" s="78" t="n"/>
      <c r="L171" s="77" t="inlineStr"/>
      <c r="M171" s="77" t="inlineStr">
        <is>
          <t>Belo Horizonte</t>
        </is>
      </c>
      <c r="N171" s="77" t="n">
        <v>4.1</v>
      </c>
      <c r="O171" s="77">
        <f>IF(K171="","Ativo","Desligado")</f>
        <v/>
      </c>
      <c r="P171" s="77">
        <f>ROUND((IF(K171="",Calc!$B$7,K171)-J171)/365.25,1)</f>
        <v/>
      </c>
      <c r="Q171" s="77">
        <f>IF(OR(H171="Coordenação",H171="Gerência",H171="Diretoria"),"Sim","Não")</f>
        <v/>
      </c>
    </row>
    <row r="172">
      <c r="A172" s="77" t="inlineStr">
        <is>
          <t>M1171</t>
        </is>
      </c>
      <c r="B172" s="77" t="inlineStr">
        <is>
          <t>Isabela Oliveira</t>
        </is>
      </c>
      <c r="C172" s="77" t="inlineStr">
        <is>
          <t>F</t>
        </is>
      </c>
      <c r="D172" s="78" t="n">
        <v>32819</v>
      </c>
      <c r="E172" s="77">
        <f>DATEDIF(D172,IF(K172="",Calc!$B$7,K172),"y")</f>
        <v/>
      </c>
      <c r="F172" s="77">
        <f>LOOKUP(E172,{0,25,35,45,55},{"18-24","25-34","35-44","45-54","55+"})</f>
        <v/>
      </c>
      <c r="G172" s="77" t="inlineStr">
        <is>
          <t>Comercial</t>
        </is>
      </c>
      <c r="H172" s="77" t="inlineStr">
        <is>
          <t>Assistente</t>
        </is>
      </c>
      <c r="I172" s="79" t="n">
        <v>2850</v>
      </c>
      <c r="J172" s="78" t="n">
        <v>46110</v>
      </c>
      <c r="K172" s="78" t="n"/>
      <c r="L172" s="77" t="inlineStr"/>
      <c r="M172" s="77" t="inlineStr">
        <is>
          <t>São Paulo</t>
        </is>
      </c>
      <c r="N172" s="77" t="n">
        <v>3.5</v>
      </c>
      <c r="O172" s="77">
        <f>IF(K172="","Ativo","Desligado")</f>
        <v/>
      </c>
      <c r="P172" s="77">
        <f>ROUND((IF(K172="",Calc!$B$7,K172)-J172)/365.25,1)</f>
        <v/>
      </c>
      <c r="Q172" s="77">
        <f>IF(OR(H172="Coordenação",H172="Gerência",H172="Diretoria"),"Sim","Não")</f>
        <v/>
      </c>
    </row>
    <row r="173">
      <c r="A173" s="77" t="inlineStr">
        <is>
          <t>M1172</t>
        </is>
      </c>
      <c r="B173" s="77" t="inlineStr">
        <is>
          <t>Thiago Santos</t>
        </is>
      </c>
      <c r="C173" s="77" t="inlineStr">
        <is>
          <t>M</t>
        </is>
      </c>
      <c r="D173" s="78" t="n">
        <v>36506</v>
      </c>
      <c r="E173" s="77">
        <f>DATEDIF(D173,IF(K173="",Calc!$B$7,K173),"y")</f>
        <v/>
      </c>
      <c r="F173" s="77">
        <f>LOOKUP(E173,{0,25,35,45,55},{"18-24","25-34","35-44","45-54","55+"})</f>
        <v/>
      </c>
      <c r="G173" s="77" t="inlineStr">
        <is>
          <t>Operações</t>
        </is>
      </c>
      <c r="H173" s="77" t="inlineStr">
        <is>
          <t>Analista</t>
        </is>
      </c>
      <c r="I173" s="79" t="n">
        <v>3800</v>
      </c>
      <c r="J173" s="78" t="n">
        <v>46218</v>
      </c>
      <c r="K173" s="78" t="n"/>
      <c r="L173" s="77" t="inlineStr"/>
      <c r="M173" s="77" t="inlineStr">
        <is>
          <t>São Paulo</t>
        </is>
      </c>
      <c r="N173" s="77" t="n">
        <v>4</v>
      </c>
      <c r="O173" s="77">
        <f>IF(K173="","Ativo","Desligado")</f>
        <v/>
      </c>
      <c r="P173" s="77">
        <f>ROUND((IF(K173="",Calc!$B$7,K173)-J173)/365.25,1)</f>
        <v/>
      </c>
      <c r="Q173" s="77">
        <f>IF(OR(H173="Coordenação",H173="Gerência",H173="Diretoria"),"Sim","Não")</f>
        <v/>
      </c>
    </row>
    <row r="174">
      <c r="A174" s="77" t="inlineStr">
        <is>
          <t>M1173</t>
        </is>
      </c>
      <c r="B174" s="77" t="inlineStr">
        <is>
          <t>Fernanda Gomes</t>
        </is>
      </c>
      <c r="C174" s="77" t="inlineStr">
        <is>
          <t>F</t>
        </is>
      </c>
      <c r="D174" s="78" t="n">
        <v>36335</v>
      </c>
      <c r="E174" s="77">
        <f>DATEDIF(D174,IF(K174="",Calc!$B$7,K174),"y")</f>
        <v/>
      </c>
      <c r="F174" s="77">
        <f>LOOKUP(E174,{0,25,35,45,55},{"18-24","25-34","35-44","45-54","55+"})</f>
        <v/>
      </c>
      <c r="G174" s="77" t="inlineStr">
        <is>
          <t>Comercial</t>
        </is>
      </c>
      <c r="H174" s="77" t="inlineStr">
        <is>
          <t>Especialista</t>
        </is>
      </c>
      <c r="I174" s="79" t="n">
        <v>6150</v>
      </c>
      <c r="J174" s="78" t="n">
        <v>46052</v>
      </c>
      <c r="K174" s="78" t="n"/>
      <c r="L174" s="77" t="inlineStr"/>
      <c r="M174" s="77" t="inlineStr">
        <is>
          <t>Belo Horizonte</t>
        </is>
      </c>
      <c r="N174" s="77" t="n">
        <v>3.2</v>
      </c>
      <c r="O174" s="77">
        <f>IF(K174="","Ativo","Desligado")</f>
        <v/>
      </c>
      <c r="P174" s="77">
        <f>ROUND((IF(K174="",Calc!$B$7,K174)-J174)/365.25,1)</f>
        <v/>
      </c>
      <c r="Q174" s="77">
        <f>IF(OR(H174="Coordenação",H174="Gerência",H174="Diretoria"),"Sim","Não")</f>
        <v/>
      </c>
    </row>
    <row r="175">
      <c r="A175" s="77" t="inlineStr">
        <is>
          <t>M1174</t>
        </is>
      </c>
      <c r="B175" s="77" t="inlineStr">
        <is>
          <t>Gabriela Nunes</t>
        </is>
      </c>
      <c r="C175" s="77" t="inlineStr">
        <is>
          <t>F</t>
        </is>
      </c>
      <c r="D175" s="78" t="n">
        <v>32126</v>
      </c>
      <c r="E175" s="77">
        <f>DATEDIF(D175,IF(K175="",Calc!$B$7,K175),"y")</f>
        <v/>
      </c>
      <c r="F175" s="77">
        <f>LOOKUP(E175,{0,25,35,45,55},{"18-24","25-34","35-44","45-54","55+"})</f>
        <v/>
      </c>
      <c r="G175" s="77" t="inlineStr">
        <is>
          <t>Operações</t>
        </is>
      </c>
      <c r="H175" s="77" t="inlineStr">
        <is>
          <t>Analista</t>
        </is>
      </c>
      <c r="I175" s="79" t="n">
        <v>3050</v>
      </c>
      <c r="J175" s="78" t="n">
        <v>46041</v>
      </c>
      <c r="K175" s="78" t="n"/>
      <c r="L175" s="77" t="inlineStr"/>
      <c r="M175" s="77" t="inlineStr">
        <is>
          <t>São Paulo</t>
        </is>
      </c>
      <c r="N175" s="77" t="n">
        <v>2.9</v>
      </c>
      <c r="O175" s="77">
        <f>IF(K175="","Ativo","Desligado")</f>
        <v/>
      </c>
      <c r="P175" s="77">
        <f>ROUND((IF(K175="",Calc!$B$7,K175)-J175)/365.25,1)</f>
        <v/>
      </c>
      <c r="Q175" s="77">
        <f>IF(OR(H175="Coordenação",H175="Gerência",H175="Diretoria"),"Sim","Não")</f>
        <v/>
      </c>
    </row>
    <row r="176">
      <c r="A176" s="77" t="inlineStr">
        <is>
          <t>M1175</t>
        </is>
      </c>
      <c r="B176" s="77" t="inlineStr">
        <is>
          <t>Vanessa Rodrigues</t>
        </is>
      </c>
      <c r="C176" s="77" t="inlineStr">
        <is>
          <t>F</t>
        </is>
      </c>
      <c r="D176" s="78" t="n">
        <v>31323</v>
      </c>
      <c r="E176" s="77">
        <f>DATEDIF(D176,IF(K176="",Calc!$B$7,K176),"y")</f>
        <v/>
      </c>
      <c r="F176" s="77">
        <f>LOOKUP(E176,{0,25,35,45,55},{"18-24","25-34","35-44","45-54","55+"})</f>
        <v/>
      </c>
      <c r="G176" s="77" t="inlineStr">
        <is>
          <t>Comercial</t>
        </is>
      </c>
      <c r="H176" s="77" t="inlineStr">
        <is>
          <t>Analista</t>
        </is>
      </c>
      <c r="I176" s="79" t="n">
        <v>4550</v>
      </c>
      <c r="J176" s="78" t="n">
        <v>45741</v>
      </c>
      <c r="K176" s="78" t="n"/>
      <c r="L176" s="77" t="inlineStr"/>
      <c r="M176" s="77" t="inlineStr">
        <is>
          <t>São Paulo</t>
        </is>
      </c>
      <c r="N176" s="77" t="n">
        <v>3.6</v>
      </c>
      <c r="O176" s="77">
        <f>IF(K176="","Ativo","Desligado")</f>
        <v/>
      </c>
      <c r="P176" s="77">
        <f>ROUND((IF(K176="",Calc!$B$7,K176)-J176)/365.25,1)</f>
        <v/>
      </c>
      <c r="Q176" s="77">
        <f>IF(OR(H176="Coordenação",H176="Gerência",H176="Diretoria"),"Sim","Não")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2026-10-19T22:33:58Z</dcterms:created>
  <dcterms:modified xmlns:dcterms="http://purl.org/dc/terms/" xmlns:xsi="http://www.w3.org/2001/XMLSchema-instance" xsi:type="dcterms:W3CDTF">2026-10-19T22:33:58Z</dcterms:modified>
</cp:coreProperties>
</file>